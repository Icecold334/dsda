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7495" windowHeight="14760"/>
  </bookViews>
  <sheets>
    <sheet name="KK" sheetId="1" r:id="rId1"/>
  </sheets>
  <definedNames>
    <definedName name="_xlnm._FilterDatabase" localSheetId="0" hidden="1">KK!$A$5:$I$73</definedName>
    <definedName name="_xlnm.Print_Area" localSheetId="0">KK!$A$1:$I$97</definedName>
    <definedName name="_xlnm.Print_Titles" localSheetId="0">KK!$5:$5</definedName>
  </definedNames>
  <calcPr calcId="145621"/>
</workbook>
</file>

<file path=xl/calcChain.xml><?xml version="1.0" encoding="utf-8"?>
<calcChain xmlns="http://schemas.openxmlformats.org/spreadsheetml/2006/main">
  <c r="I72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6" i="1"/>
  <c r="J12" i="1"/>
  <c r="I73" i="1" l="1"/>
</calcChain>
</file>

<file path=xl/sharedStrings.xml><?xml version="1.0" encoding="utf-8"?>
<sst xmlns="http://schemas.openxmlformats.org/spreadsheetml/2006/main" count="294" uniqueCount="162">
  <si>
    <t>SEMEN</t>
  </si>
  <si>
    <t>1.1.7.01.01.01.003.00002</t>
  </si>
  <si>
    <t>Kaca Bening</t>
  </si>
  <si>
    <t>3 Mm</t>
  </si>
  <si>
    <t>M2</t>
  </si>
  <si>
    <t>Beton</t>
  </si>
  <si>
    <t>M3</t>
  </si>
  <si>
    <t>-</t>
  </si>
  <si>
    <t>1.1.7.01.01.01.005.00001</t>
  </si>
  <si>
    <t>Batu Belah</t>
  </si>
  <si>
    <t>1.1.7.01.01.01.005.00012</t>
  </si>
  <si>
    <t>Batu Kali</t>
  </si>
  <si>
    <t>Ukuran 15/20</t>
  </si>
  <si>
    <t>1.1.7.01.01.01.005.00017</t>
  </si>
  <si>
    <t>Batu Kerikil</t>
  </si>
  <si>
    <t>BUAH</t>
  </si>
  <si>
    <t>1.1.7.01.01.01.005.00028</t>
  </si>
  <si>
    <t>Roster</t>
  </si>
  <si>
    <t>Merah</t>
  </si>
  <si>
    <t>1.1.7.01.01.01.005.00047</t>
  </si>
  <si>
    <t>Nok Asbes gelombang</t>
  </si>
  <si>
    <t>LEMBAR</t>
  </si>
  <si>
    <t>KG</t>
  </si>
  <si>
    <t>1.1.7.01.01.01.006.00111</t>
  </si>
  <si>
    <t>Cat Meni Besi</t>
  </si>
  <si>
    <t xml:space="preserve">Ukuran 1 kg
</t>
  </si>
  <si>
    <t>SET</t>
  </si>
  <si>
    <t>1.1.7.01.01.01.008.00009</t>
  </si>
  <si>
    <t>Baja Wf</t>
  </si>
  <si>
    <t>Lebih kecil sama dengan 250Mm</t>
  </si>
  <si>
    <t>1.1.7.01.01.01.013.00001</t>
  </si>
  <si>
    <t>Keramik Dinding Polos</t>
  </si>
  <si>
    <t xml:space="preserve">Ukuran 20x10 Cm
</t>
  </si>
  <si>
    <t>1.1.7.01.01.01.013.00057</t>
  </si>
  <si>
    <t>LIST KERAMIK DINDING</t>
  </si>
  <si>
    <t>UK. 80 CM X 25 CM</t>
  </si>
  <si>
    <t>1.1.7.01.01.01.014.00004</t>
  </si>
  <si>
    <t>Genteng Plentong</t>
  </si>
  <si>
    <t>Glazzur</t>
  </si>
  <si>
    <t>1.1.7.01.01.01.014.00010</t>
  </si>
  <si>
    <t>Metal Roof</t>
  </si>
  <si>
    <t>Imw Nok Kotak Panjang 914 Mm Tebal 0,25 Colour</t>
  </si>
  <si>
    <t>1.1.7.01.01.01.014.00011</t>
  </si>
  <si>
    <t>Spandek Hi Ten Colorbond Tebal 0,45 Mm</t>
  </si>
  <si>
    <t>1.1.7.01.01.01.014.00014</t>
  </si>
  <si>
    <t>Nok Genteng Plentong</t>
  </si>
  <si>
    <t>U-Ditch</t>
  </si>
  <si>
    <t>UNIT</t>
  </si>
  <si>
    <t>1.1.7.01.01.01.015.00085</t>
  </si>
  <si>
    <t xml:space="preserve">Ukuran 1000x1000x80/100-1,2 M
</t>
  </si>
  <si>
    <t>1.1.7.01.01.01.021.00030</t>
  </si>
  <si>
    <t>Thinner</t>
  </si>
  <si>
    <t>Cat</t>
  </si>
  <si>
    <t>LITER</t>
  </si>
  <si>
    <t>1.1.7.01.01.01.023.00007</t>
  </si>
  <si>
    <t>AMPLAS</t>
  </si>
  <si>
    <t>1.1.7.01.01.01.027.00009</t>
  </si>
  <si>
    <t>Paku Asbes</t>
  </si>
  <si>
    <t>1.1.7.01.01.01.027.00011</t>
  </si>
  <si>
    <t>Paku</t>
  </si>
  <si>
    <t>Beton Hitam</t>
  </si>
  <si>
    <t>1.1.7.01.01.01.027.00020</t>
  </si>
  <si>
    <t>Biasa 2" - 5"</t>
  </si>
  <si>
    <t>1.1.7.01.01.02.002.00787</t>
  </si>
  <si>
    <t>Soda Api</t>
  </si>
  <si>
    <t>KOTAK</t>
  </si>
  <si>
    <t>1.1.7.01.02.01.001.00927</t>
  </si>
  <si>
    <t>Sekrup</t>
  </si>
  <si>
    <t>1.1.7.01.03.01.010.00079</t>
  </si>
  <si>
    <t>Seal Tape</t>
  </si>
  <si>
    <t>P.T.F.E Thread SealTape ISO 9002 Certified 10 Meters Size: 12mm x 0,075mm x 10m , merk onda</t>
  </si>
  <si>
    <t>1.1.7.01.03.01.010.00127</t>
  </si>
  <si>
    <t>Lem Kayu</t>
  </si>
  <si>
    <t>1.1.7.01.03.07.001.00087</t>
  </si>
  <si>
    <t>Ijuk</t>
  </si>
  <si>
    <t xml:space="preserve">Subtrat Ijuk
</t>
  </si>
  <si>
    <t>1.1.7.01.03.07.003.00025</t>
  </si>
  <si>
    <t>Bak Plastik</t>
  </si>
  <si>
    <t>1.1.7.01.03.07.003.00038</t>
  </si>
  <si>
    <t>EMBER PLASTIK</t>
  </si>
  <si>
    <t>1.1.7.01.03.07.006.00014</t>
  </si>
  <si>
    <t>Tali Rafia</t>
  </si>
  <si>
    <t>GULUNG</t>
  </si>
  <si>
    <t>1.1.7.01.03.07.013.00004</t>
  </si>
  <si>
    <t>KUAS ROLL</t>
  </si>
  <si>
    <t>IMUNNDEX, BESAR</t>
  </si>
  <si>
    <t>1.1.7.01.03.07.014.00012</t>
  </si>
  <si>
    <t>Grendel</t>
  </si>
  <si>
    <t>1.1.7.01.03.09.007.00068</t>
  </si>
  <si>
    <t>KAPE</t>
  </si>
  <si>
    <t>BERBAHAN KAYU DAN PLAT</t>
  </si>
  <si>
    <t>Type Aw</t>
  </si>
  <si>
    <t>1.1.7.02.02.06.001.00063</t>
  </si>
  <si>
    <t>Faucet Socket Pipa PVC Aw 1"</t>
  </si>
  <si>
    <t>1.1.7.02.02.06.001.00064</t>
  </si>
  <si>
    <t>Faucet Soket Piqa PVC 1 1/2 AW"</t>
  </si>
  <si>
    <t>1.1.7.02.02.06.001.00065</t>
  </si>
  <si>
    <t>Klem Pipa PVC AW 1 1/2"</t>
  </si>
  <si>
    <t>1.1.7.02.02.06.001.00067</t>
  </si>
  <si>
    <t>Faucet Socket Pipa PVC Aw 1/2"</t>
  </si>
  <si>
    <t>1.1.7.02.02.06.001.00070</t>
  </si>
  <si>
    <t>Faucet Socket Pipa PVC Aw 3/4"</t>
  </si>
  <si>
    <t>1.1.7.02.02.06.001.00071</t>
  </si>
  <si>
    <t>Klem Pipa PVC AW 2"</t>
  </si>
  <si>
    <t>1.1.7.02.02.06.001.00072</t>
  </si>
  <si>
    <t>Klem Pipa PVC AW 4"</t>
  </si>
  <si>
    <t>1.1.7.02.02.06.001.00073</t>
  </si>
  <si>
    <t>Faucet Elbow Pipa PVC Aw 1"</t>
  </si>
  <si>
    <t>1.1.7.02.02.06.001.00103</t>
  </si>
  <si>
    <t>Knee 90 Ukuran 3/ 4</t>
  </si>
  <si>
    <t>1.1.7.02.02.06.001.00104</t>
  </si>
  <si>
    <t>Knee 90 Ukuran 1</t>
  </si>
  <si>
    <t>1.1.7.02.02.06.001.00105</t>
  </si>
  <si>
    <t>Knee 90 Ukuran 1 1/ 4</t>
  </si>
  <si>
    <t>1.1.7.02.02.06.001.00107</t>
  </si>
  <si>
    <t>Knee 90 Ukuran 2</t>
  </si>
  <si>
    <t>1.1.7.02.02.06.001.00143</t>
  </si>
  <si>
    <t>Reducing Socket 1" x 1-1/2"</t>
  </si>
  <si>
    <t>Type AW</t>
  </si>
  <si>
    <t>1.1.7.02.02.06.001.00152</t>
  </si>
  <si>
    <t>Reducing Socket 3/4" x 1/2"</t>
  </si>
  <si>
    <t>1.1.7.02.02.06.001.00158</t>
  </si>
  <si>
    <t>Socket 2"</t>
  </si>
  <si>
    <t>1.1.7.02.02.06.001.00163</t>
  </si>
  <si>
    <t>Socket 1"</t>
  </si>
  <si>
    <t>1.1.7.02.02.06.001.00166</t>
  </si>
  <si>
    <t>Reducing Socket 1" x 3/4"</t>
  </si>
  <si>
    <t>1.1.7.02.02.06.001.00167</t>
  </si>
  <si>
    <t>Socket 1-1/2"</t>
  </si>
  <si>
    <t>1.1.7.02.02.06.001.00172</t>
  </si>
  <si>
    <t>Socket 1/2"</t>
  </si>
  <si>
    <t>1.1.7.02.02.06.001.00180</t>
  </si>
  <si>
    <t>Socket 3/4"</t>
  </si>
  <si>
    <t>1.1.7.02.02.06.001.00186</t>
  </si>
  <si>
    <t>Socket 4"</t>
  </si>
  <si>
    <t>Kode Barang</t>
  </si>
  <si>
    <t>Nomor</t>
  </si>
  <si>
    <t>Nama Barang</t>
  </si>
  <si>
    <t>Merk</t>
  </si>
  <si>
    <t>Satuan</t>
  </si>
  <si>
    <t>Jumlah Barang</t>
  </si>
  <si>
    <t>Harga_Satuan</t>
  </si>
  <si>
    <t>PPN</t>
  </si>
  <si>
    <t>Harga Total</t>
  </si>
  <si>
    <t>Pemeriksa</t>
  </si>
  <si>
    <t>Yang Diperiksa</t>
  </si>
  <si>
    <t>Pejabat Penatausahaan Pengguna</t>
  </si>
  <si>
    <t>Pengurus Barang/Pengurus Barang  Pembantu</t>
  </si>
  <si>
    <t>Barang (P3B)</t>
  </si>
  <si>
    <t>Siti Nurjannah, S.Sos, M.Si</t>
  </si>
  <si>
    <t>Nasrudin Darmadi</t>
  </si>
  <si>
    <t>NIP 196806251993032007</t>
  </si>
  <si>
    <t>NIP 198210062014121003</t>
  </si>
  <si>
    <t>Mengetahui</t>
  </si>
  <si>
    <t>Kuasa Pengguna Barang</t>
  </si>
  <si>
    <t>Santo, S.ST., M.Si</t>
  </si>
  <si>
    <t>NIP 197302211996031001</t>
  </si>
  <si>
    <t>00123::SUKU DINAS SUMBER DAYA AIR KOTA ADMINISTRASI JAKARTA SELATAN</t>
  </si>
  <si>
    <t>KERTAS KERJA STOCK OPNAME FISIK BARANG PERSEDIAAN</t>
  </si>
  <si>
    <t>Jakarta, 10 Oktober 2025</t>
  </si>
  <si>
    <t>Paving Stone</t>
  </si>
  <si>
    <t>1.1.7.01.01.01.005.00049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</si>
</sst>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7" formatCode="_-* #,##0.00_-;\-* #,##0.00_-;_-* &quot;-&quot;_-;_-@_-"/>
  </numFmts>
  <fonts count="6" x14ac:knownFonts="1">
    <font>
      <sz val="11"/>
      <name val="Calibri"/>
    </font>
    <font>
      <sz val="11"/>
      <name val="Calibri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Border="1"/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/>
    <xf numFmtId="41" fontId="0" fillId="2" borderId="0" xfId="0" applyNumberFormat="1" applyFill="1"/>
    <xf numFmtId="1" fontId="2" fillId="0" borderId="1" xfId="0" applyNumberFormat="1" applyFont="1" applyFill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43" fontId="0" fillId="0" borderId="0" xfId="0" applyNumberFormat="1" applyFill="1"/>
    <xf numFmtId="41" fontId="0" fillId="0" borderId="0" xfId="0" applyNumberForma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view="pageBreakPreview" topLeftCell="A67" zoomScale="115" zoomScaleNormal="100" zoomScaleSheetLayoutView="115" workbookViewId="0">
      <selection activeCell="A73" sqref="A73:H73"/>
    </sheetView>
  </sheetViews>
  <sheetFormatPr defaultRowHeight="15" x14ac:dyDescent="0.25"/>
  <cols>
    <col min="1" max="1" width="14.28515625" customWidth="1"/>
    <col min="2" max="2" width="29.5703125" customWidth="1"/>
    <col min="3" max="3" width="25.5703125" customWidth="1"/>
    <col min="4" max="4" width="20.5703125" customWidth="1"/>
    <col min="5" max="5" width="14.28515625" customWidth="1"/>
    <col min="6" max="6" width="22.42578125" bestFit="1" customWidth="1"/>
    <col min="7" max="7" width="21" bestFit="1" customWidth="1"/>
    <col min="8" max="8" width="17.28515625" customWidth="1"/>
    <col min="9" max="9" width="20.140625" customWidth="1"/>
    <col min="10" max="10" width="15.140625" bestFit="1" customWidth="1"/>
    <col min="11" max="11" width="14.5703125" customWidth="1"/>
    <col min="12" max="12" width="12.28515625" bestFit="1" customWidth="1"/>
  </cols>
  <sheetData>
    <row r="1" spans="1:10" ht="15.75" x14ac:dyDescent="0.25">
      <c r="A1" s="12" t="s">
        <v>157</v>
      </c>
      <c r="B1" s="12"/>
      <c r="C1" s="12"/>
      <c r="D1" s="12"/>
      <c r="E1" s="12"/>
      <c r="F1" s="12"/>
      <c r="G1" s="12"/>
      <c r="H1" s="12"/>
      <c r="I1" s="12"/>
    </row>
    <row r="2" spans="1:10" ht="15.75" x14ac:dyDescent="0.25">
      <c r="A2" s="12" t="s">
        <v>158</v>
      </c>
      <c r="B2" s="12"/>
      <c r="C2" s="12"/>
      <c r="D2" s="12"/>
      <c r="E2" s="12"/>
      <c r="F2" s="12"/>
      <c r="G2" s="12"/>
      <c r="H2" s="12"/>
      <c r="I2" s="12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</row>
    <row r="5" spans="1:10" ht="50.1" customHeight="1" x14ac:dyDescent="0.25">
      <c r="A5" s="9" t="s">
        <v>136</v>
      </c>
      <c r="B5" s="9" t="s">
        <v>135</v>
      </c>
      <c r="C5" s="9" t="s">
        <v>137</v>
      </c>
      <c r="D5" s="9" t="s">
        <v>138</v>
      </c>
      <c r="E5" s="9" t="s">
        <v>139</v>
      </c>
      <c r="F5" s="9" t="s">
        <v>140</v>
      </c>
      <c r="G5" s="9" t="s">
        <v>141</v>
      </c>
      <c r="H5" s="9" t="s">
        <v>142</v>
      </c>
      <c r="I5" s="9" t="s">
        <v>143</v>
      </c>
      <c r="J5" s="19"/>
    </row>
    <row r="6" spans="1:10" s="15" customFormat="1" ht="35.1" customHeight="1" x14ac:dyDescent="0.25">
      <c r="A6" s="20">
        <v>1</v>
      </c>
      <c r="B6" s="20" t="s">
        <v>1</v>
      </c>
      <c r="C6" s="21" t="s">
        <v>2</v>
      </c>
      <c r="D6" s="21" t="s">
        <v>3</v>
      </c>
      <c r="E6" s="20" t="s">
        <v>4</v>
      </c>
      <c r="F6" s="22">
        <v>118.84</v>
      </c>
      <c r="G6" s="23">
        <v>143750</v>
      </c>
      <c r="H6" s="24">
        <v>14375</v>
      </c>
      <c r="I6" s="24">
        <f>(F6*G6)+(F6*H6)</f>
        <v>18791575</v>
      </c>
      <c r="J6" s="19"/>
    </row>
    <row r="7" spans="1:10" s="15" customFormat="1" ht="35.1" customHeight="1" x14ac:dyDescent="0.25">
      <c r="A7" s="20">
        <v>2</v>
      </c>
      <c r="B7" s="20" t="s">
        <v>8</v>
      </c>
      <c r="C7" s="21" t="s">
        <v>9</v>
      </c>
      <c r="D7" s="21" t="s">
        <v>7</v>
      </c>
      <c r="E7" s="20" t="s">
        <v>6</v>
      </c>
      <c r="F7" s="22">
        <v>0.2</v>
      </c>
      <c r="G7" s="23">
        <v>305500</v>
      </c>
      <c r="H7" s="24">
        <v>0</v>
      </c>
      <c r="I7" s="24">
        <f t="shared" ref="I7:I69" si="0">(F7*G7)+(F7*H7)</f>
        <v>61100</v>
      </c>
      <c r="J7" s="19"/>
    </row>
    <row r="8" spans="1:10" s="15" customFormat="1" ht="35.1" customHeight="1" x14ac:dyDescent="0.25">
      <c r="A8" s="20">
        <v>3</v>
      </c>
      <c r="B8" s="20" t="s">
        <v>10</v>
      </c>
      <c r="C8" s="21" t="s">
        <v>11</v>
      </c>
      <c r="D8" s="21" t="s">
        <v>12</v>
      </c>
      <c r="E8" s="20" t="s">
        <v>6</v>
      </c>
      <c r="F8" s="22">
        <v>497</v>
      </c>
      <c r="G8" s="23">
        <v>261000</v>
      </c>
      <c r="H8" s="24">
        <v>26100</v>
      </c>
      <c r="I8" s="24">
        <f t="shared" si="0"/>
        <v>142688700</v>
      </c>
      <c r="J8" s="19"/>
    </row>
    <row r="9" spans="1:10" s="15" customFormat="1" ht="35.1" customHeight="1" x14ac:dyDescent="0.25">
      <c r="A9" s="20">
        <v>4</v>
      </c>
      <c r="B9" s="20" t="s">
        <v>13</v>
      </c>
      <c r="C9" s="21" t="s">
        <v>14</v>
      </c>
      <c r="D9" s="21" t="s">
        <v>5</v>
      </c>
      <c r="E9" s="20" t="s">
        <v>6</v>
      </c>
      <c r="F9" s="22">
        <v>0.3</v>
      </c>
      <c r="G9" s="23">
        <v>226800</v>
      </c>
      <c r="H9" s="24">
        <v>22680</v>
      </c>
      <c r="I9" s="24">
        <f t="shared" si="0"/>
        <v>74844</v>
      </c>
      <c r="J9" s="19"/>
    </row>
    <row r="10" spans="1:10" s="15" customFormat="1" ht="35.1" customHeight="1" x14ac:dyDescent="0.25">
      <c r="A10" s="20">
        <v>5</v>
      </c>
      <c r="B10" s="20" t="s">
        <v>16</v>
      </c>
      <c r="C10" s="21" t="s">
        <v>17</v>
      </c>
      <c r="D10" s="21" t="s">
        <v>18</v>
      </c>
      <c r="E10" s="20" t="s">
        <v>15</v>
      </c>
      <c r="F10" s="22">
        <v>626</v>
      </c>
      <c r="G10" s="23">
        <v>6000</v>
      </c>
      <c r="H10" s="24">
        <v>600</v>
      </c>
      <c r="I10" s="24">
        <f t="shared" si="0"/>
        <v>4131600</v>
      </c>
      <c r="J10" s="19"/>
    </row>
    <row r="11" spans="1:10" s="15" customFormat="1" ht="35.1" customHeight="1" x14ac:dyDescent="0.25">
      <c r="A11" s="20">
        <v>6</v>
      </c>
      <c r="B11" s="20" t="s">
        <v>19</v>
      </c>
      <c r="C11" s="21" t="s">
        <v>20</v>
      </c>
      <c r="D11" s="21" t="s">
        <v>7</v>
      </c>
      <c r="E11" s="20" t="s">
        <v>21</v>
      </c>
      <c r="F11" s="22">
        <v>94</v>
      </c>
      <c r="G11" s="23">
        <v>27150</v>
      </c>
      <c r="H11" s="24">
        <v>2715</v>
      </c>
      <c r="I11" s="24">
        <f t="shared" si="0"/>
        <v>2807310</v>
      </c>
      <c r="J11" s="19"/>
    </row>
    <row r="12" spans="1:10" s="15" customFormat="1" ht="35.1" customHeight="1" x14ac:dyDescent="0.25">
      <c r="A12" s="20">
        <v>7</v>
      </c>
      <c r="B12" s="20" t="s">
        <v>19</v>
      </c>
      <c r="C12" s="21" t="s">
        <v>20</v>
      </c>
      <c r="D12" s="21" t="s">
        <v>7</v>
      </c>
      <c r="E12" s="20" t="s">
        <v>21</v>
      </c>
      <c r="F12" s="22">
        <v>565</v>
      </c>
      <c r="G12" s="23">
        <v>70500</v>
      </c>
      <c r="H12" s="24">
        <v>7050</v>
      </c>
      <c r="I12" s="24">
        <f t="shared" si="0"/>
        <v>43815750</v>
      </c>
      <c r="J12" s="25">
        <f>(F12*G12)+(F12*H12)</f>
        <v>43815750</v>
      </c>
    </row>
    <row r="13" spans="1:10" s="15" customFormat="1" ht="35.1" customHeight="1" x14ac:dyDescent="0.25">
      <c r="A13" s="20">
        <v>8</v>
      </c>
      <c r="B13" s="20" t="s">
        <v>23</v>
      </c>
      <c r="C13" s="21" t="s">
        <v>24</v>
      </c>
      <c r="D13" s="21" t="s">
        <v>25</v>
      </c>
      <c r="E13" s="20" t="s">
        <v>22</v>
      </c>
      <c r="F13" s="22">
        <v>10</v>
      </c>
      <c r="G13" s="23">
        <v>55000</v>
      </c>
      <c r="H13" s="24">
        <v>5500</v>
      </c>
      <c r="I13" s="24">
        <f t="shared" si="0"/>
        <v>605000</v>
      </c>
      <c r="J13" s="19"/>
    </row>
    <row r="14" spans="1:10" s="15" customFormat="1" ht="35.1" customHeight="1" x14ac:dyDescent="0.25">
      <c r="A14" s="20">
        <v>9</v>
      </c>
      <c r="B14" s="20" t="s">
        <v>27</v>
      </c>
      <c r="C14" s="21" t="s">
        <v>28</v>
      </c>
      <c r="D14" s="21" t="s">
        <v>29</v>
      </c>
      <c r="E14" s="20" t="s">
        <v>22</v>
      </c>
      <c r="F14" s="22">
        <v>355.2</v>
      </c>
      <c r="G14" s="23">
        <v>13800</v>
      </c>
      <c r="H14" s="24">
        <v>1380</v>
      </c>
      <c r="I14" s="24">
        <f t="shared" si="0"/>
        <v>5391936</v>
      </c>
      <c r="J14" s="19"/>
    </row>
    <row r="15" spans="1:10" s="15" customFormat="1" ht="35.1" customHeight="1" x14ac:dyDescent="0.25">
      <c r="A15" s="20">
        <v>10</v>
      </c>
      <c r="B15" s="20" t="s">
        <v>30</v>
      </c>
      <c r="C15" s="21" t="s">
        <v>31</v>
      </c>
      <c r="D15" s="21" t="s">
        <v>32</v>
      </c>
      <c r="E15" s="20" t="s">
        <v>4</v>
      </c>
      <c r="F15" s="22">
        <v>391</v>
      </c>
      <c r="G15" s="23">
        <v>69000</v>
      </c>
      <c r="H15" s="24">
        <v>6900</v>
      </c>
      <c r="I15" s="24">
        <f t="shared" si="0"/>
        <v>29676900</v>
      </c>
      <c r="J15" s="19"/>
    </row>
    <row r="16" spans="1:10" s="15" customFormat="1" ht="35.1" customHeight="1" x14ac:dyDescent="0.25">
      <c r="A16" s="20">
        <v>11</v>
      </c>
      <c r="B16" s="20" t="s">
        <v>33</v>
      </c>
      <c r="C16" s="21" t="s">
        <v>34</v>
      </c>
      <c r="D16" s="21" t="s">
        <v>35</v>
      </c>
      <c r="E16" s="20" t="s">
        <v>15</v>
      </c>
      <c r="F16" s="22">
        <v>1211</v>
      </c>
      <c r="G16" s="23">
        <v>13000</v>
      </c>
      <c r="H16" s="24">
        <v>1300</v>
      </c>
      <c r="I16" s="24">
        <f t="shared" si="0"/>
        <v>17317300</v>
      </c>
      <c r="J16" s="19"/>
    </row>
    <row r="17" spans="1:12" s="15" customFormat="1" ht="35.1" customHeight="1" x14ac:dyDescent="0.25">
      <c r="A17" s="20">
        <v>12</v>
      </c>
      <c r="B17" s="20" t="s">
        <v>36</v>
      </c>
      <c r="C17" s="21" t="s">
        <v>37</v>
      </c>
      <c r="D17" s="21" t="s">
        <v>38</v>
      </c>
      <c r="E17" s="20" t="s">
        <v>15</v>
      </c>
      <c r="F17" s="17">
        <v>31595</v>
      </c>
      <c r="G17" s="23">
        <v>8970</v>
      </c>
      <c r="H17" s="23">
        <v>897</v>
      </c>
      <c r="I17" s="24">
        <f t="shared" si="0"/>
        <v>311747865</v>
      </c>
      <c r="J17" s="19"/>
    </row>
    <row r="18" spans="1:12" s="15" customFormat="1" ht="35.1" customHeight="1" x14ac:dyDescent="0.25">
      <c r="A18" s="20">
        <v>13</v>
      </c>
      <c r="B18" s="20" t="s">
        <v>39</v>
      </c>
      <c r="C18" s="21" t="s">
        <v>40</v>
      </c>
      <c r="D18" s="21" t="s">
        <v>41</v>
      </c>
      <c r="E18" s="20" t="s">
        <v>21</v>
      </c>
      <c r="F18" s="22">
        <v>567</v>
      </c>
      <c r="G18" s="23">
        <v>42000</v>
      </c>
      <c r="H18" s="24">
        <v>4200</v>
      </c>
      <c r="I18" s="24">
        <f t="shared" si="0"/>
        <v>26195400</v>
      </c>
      <c r="J18" s="19"/>
    </row>
    <row r="19" spans="1:12" s="15" customFormat="1" ht="35.1" customHeight="1" x14ac:dyDescent="0.25">
      <c r="A19" s="20">
        <v>14</v>
      </c>
      <c r="B19" s="20" t="s">
        <v>42</v>
      </c>
      <c r="C19" s="21" t="s">
        <v>40</v>
      </c>
      <c r="D19" s="21" t="s">
        <v>43</v>
      </c>
      <c r="E19" s="20" t="s">
        <v>4</v>
      </c>
      <c r="F19" s="22">
        <v>80</v>
      </c>
      <c r="G19" s="23">
        <v>220000</v>
      </c>
      <c r="H19" s="24">
        <v>0</v>
      </c>
      <c r="I19" s="24">
        <f t="shared" si="0"/>
        <v>17600000</v>
      </c>
      <c r="J19" s="19"/>
    </row>
    <row r="20" spans="1:12" s="15" customFormat="1" ht="35.1" customHeight="1" x14ac:dyDescent="0.25">
      <c r="A20" s="20">
        <v>15</v>
      </c>
      <c r="B20" s="20" t="s">
        <v>44</v>
      </c>
      <c r="C20" s="21" t="s">
        <v>45</v>
      </c>
      <c r="D20" s="21" t="s">
        <v>38</v>
      </c>
      <c r="E20" s="20" t="s">
        <v>15</v>
      </c>
      <c r="F20" s="22">
        <v>14752</v>
      </c>
      <c r="G20" s="23">
        <v>6900</v>
      </c>
      <c r="H20" s="24">
        <v>690</v>
      </c>
      <c r="I20" s="24">
        <f t="shared" si="0"/>
        <v>111967680</v>
      </c>
      <c r="J20" s="19"/>
    </row>
    <row r="21" spans="1:12" s="15" customFormat="1" ht="35.1" customHeight="1" x14ac:dyDescent="0.25">
      <c r="A21" s="20">
        <v>16</v>
      </c>
      <c r="B21" s="20" t="s">
        <v>48</v>
      </c>
      <c r="C21" s="21" t="s">
        <v>46</v>
      </c>
      <c r="D21" s="21" t="s">
        <v>49</v>
      </c>
      <c r="E21" s="20" t="s">
        <v>47</v>
      </c>
      <c r="F21" s="22">
        <v>266</v>
      </c>
      <c r="G21" s="23">
        <v>1540000</v>
      </c>
      <c r="H21" s="24">
        <v>154000</v>
      </c>
      <c r="I21" s="24">
        <f t="shared" si="0"/>
        <v>450604000</v>
      </c>
      <c r="J21" s="19"/>
    </row>
    <row r="22" spans="1:12" s="15" customFormat="1" ht="35.1" customHeight="1" x14ac:dyDescent="0.25">
      <c r="A22" s="20">
        <v>17</v>
      </c>
      <c r="B22" s="20" t="s">
        <v>50</v>
      </c>
      <c r="C22" s="21" t="s">
        <v>51</v>
      </c>
      <c r="D22" s="21" t="s">
        <v>52</v>
      </c>
      <c r="E22" s="20" t="s">
        <v>53</v>
      </c>
      <c r="F22" s="22">
        <v>58</v>
      </c>
      <c r="G22" s="23">
        <v>28750</v>
      </c>
      <c r="H22" s="24">
        <v>2875</v>
      </c>
      <c r="I22" s="24">
        <f t="shared" si="0"/>
        <v>1834250</v>
      </c>
      <c r="J22" s="19"/>
    </row>
    <row r="23" spans="1:12" s="15" customFormat="1" ht="35.1" customHeight="1" x14ac:dyDescent="0.25">
      <c r="A23" s="20">
        <v>18</v>
      </c>
      <c r="B23" s="20" t="s">
        <v>54</v>
      </c>
      <c r="C23" s="21" t="s">
        <v>55</v>
      </c>
      <c r="D23" s="21" t="s">
        <v>7</v>
      </c>
      <c r="E23" s="20" t="s">
        <v>21</v>
      </c>
      <c r="F23" s="22">
        <v>3467</v>
      </c>
      <c r="G23" s="23">
        <v>2655</v>
      </c>
      <c r="H23" s="24">
        <v>265.5</v>
      </c>
      <c r="I23" s="24">
        <f t="shared" si="0"/>
        <v>10125373.5</v>
      </c>
      <c r="J23" s="26"/>
      <c r="K23" s="16"/>
      <c r="L23" s="16"/>
    </row>
    <row r="24" spans="1:12" s="15" customFormat="1" ht="35.1" customHeight="1" x14ac:dyDescent="0.25">
      <c r="A24" s="20">
        <v>19</v>
      </c>
      <c r="B24" s="20" t="s">
        <v>56</v>
      </c>
      <c r="C24" s="21" t="s">
        <v>57</v>
      </c>
      <c r="D24" s="21" t="s">
        <v>7</v>
      </c>
      <c r="E24" s="20" t="s">
        <v>22</v>
      </c>
      <c r="F24" s="22">
        <v>452.1</v>
      </c>
      <c r="G24" s="23">
        <v>4025</v>
      </c>
      <c r="H24" s="24">
        <v>402.5</v>
      </c>
      <c r="I24" s="24">
        <f t="shared" si="0"/>
        <v>2001672.75</v>
      </c>
      <c r="J24" s="19"/>
    </row>
    <row r="25" spans="1:12" s="15" customFormat="1" ht="35.1" customHeight="1" x14ac:dyDescent="0.25">
      <c r="A25" s="20">
        <v>20</v>
      </c>
      <c r="B25" s="20" t="s">
        <v>58</v>
      </c>
      <c r="C25" s="21" t="s">
        <v>59</v>
      </c>
      <c r="D25" s="21" t="s">
        <v>60</v>
      </c>
      <c r="E25" s="20" t="s">
        <v>22</v>
      </c>
      <c r="F25" s="22">
        <v>1</v>
      </c>
      <c r="G25" s="23">
        <v>15200</v>
      </c>
      <c r="H25" s="24">
        <v>1520</v>
      </c>
      <c r="I25" s="24">
        <f t="shared" si="0"/>
        <v>16720</v>
      </c>
      <c r="J25" s="19"/>
    </row>
    <row r="26" spans="1:12" s="15" customFormat="1" ht="35.1" customHeight="1" x14ac:dyDescent="0.25">
      <c r="A26" s="20">
        <v>21</v>
      </c>
      <c r="B26" s="20" t="s">
        <v>61</v>
      </c>
      <c r="C26" s="21" t="s">
        <v>59</v>
      </c>
      <c r="D26" s="21" t="s">
        <v>62</v>
      </c>
      <c r="E26" s="20" t="s">
        <v>22</v>
      </c>
      <c r="F26" s="22">
        <v>0.55000000000000004</v>
      </c>
      <c r="G26" s="23">
        <v>35000</v>
      </c>
      <c r="H26" s="24">
        <v>0</v>
      </c>
      <c r="I26" s="24">
        <f t="shared" si="0"/>
        <v>19250</v>
      </c>
      <c r="J26" s="19"/>
    </row>
    <row r="27" spans="1:12" s="15" customFormat="1" ht="34.5" customHeight="1" x14ac:dyDescent="0.25">
      <c r="A27" s="20">
        <v>22</v>
      </c>
      <c r="B27" s="20" t="s">
        <v>63</v>
      </c>
      <c r="C27" s="21" t="s">
        <v>64</v>
      </c>
      <c r="D27" s="21" t="s">
        <v>7</v>
      </c>
      <c r="E27" s="20" t="s">
        <v>22</v>
      </c>
      <c r="F27" s="22">
        <v>142</v>
      </c>
      <c r="G27" s="23">
        <v>34500</v>
      </c>
      <c r="H27" s="24">
        <v>3450</v>
      </c>
      <c r="I27" s="24">
        <f t="shared" si="0"/>
        <v>5388900</v>
      </c>
      <c r="J27" s="19"/>
    </row>
    <row r="28" spans="1:12" s="15" customFormat="1" ht="35.1" customHeight="1" x14ac:dyDescent="0.25">
      <c r="A28" s="20">
        <v>23</v>
      </c>
      <c r="B28" s="20" t="s">
        <v>66</v>
      </c>
      <c r="C28" s="21" t="s">
        <v>67</v>
      </c>
      <c r="D28" s="21" t="s">
        <v>7</v>
      </c>
      <c r="E28" s="20" t="s">
        <v>65</v>
      </c>
      <c r="F28" s="22">
        <v>0.5</v>
      </c>
      <c r="G28" s="23">
        <v>74750</v>
      </c>
      <c r="H28" s="24">
        <v>8222.5</v>
      </c>
      <c r="I28" s="24">
        <f t="shared" si="0"/>
        <v>41486.25</v>
      </c>
      <c r="J28" s="19"/>
    </row>
    <row r="29" spans="1:12" s="15" customFormat="1" ht="35.1" customHeight="1" x14ac:dyDescent="0.25">
      <c r="A29" s="20">
        <v>24</v>
      </c>
      <c r="B29" s="20" t="s">
        <v>68</v>
      </c>
      <c r="C29" s="21" t="s">
        <v>69</v>
      </c>
      <c r="D29" s="21" t="s">
        <v>70</v>
      </c>
      <c r="E29" s="20" t="s">
        <v>15</v>
      </c>
      <c r="F29" s="22">
        <v>306</v>
      </c>
      <c r="G29" s="23">
        <v>4472.3599999999997</v>
      </c>
      <c r="H29" s="24">
        <v>447.24</v>
      </c>
      <c r="I29" s="24">
        <f t="shared" si="0"/>
        <v>1505397.5999999999</v>
      </c>
      <c r="J29" s="19"/>
    </row>
    <row r="30" spans="1:12" s="15" customFormat="1" ht="35.1" customHeight="1" x14ac:dyDescent="0.25">
      <c r="A30" s="20">
        <v>25</v>
      </c>
      <c r="B30" s="20" t="s">
        <v>68</v>
      </c>
      <c r="C30" s="21" t="s">
        <v>69</v>
      </c>
      <c r="D30" s="21" t="s">
        <v>70</v>
      </c>
      <c r="E30" s="20" t="s">
        <v>15</v>
      </c>
      <c r="F30" s="22">
        <v>500</v>
      </c>
      <c r="G30" s="23">
        <v>5800</v>
      </c>
      <c r="H30" s="24">
        <v>0</v>
      </c>
      <c r="I30" s="24">
        <f t="shared" si="0"/>
        <v>2900000</v>
      </c>
      <c r="J30" s="19"/>
    </row>
    <row r="31" spans="1:12" s="15" customFormat="1" ht="35.1" customHeight="1" x14ac:dyDescent="0.25">
      <c r="A31" s="20">
        <v>26</v>
      </c>
      <c r="B31" s="20" t="s">
        <v>71</v>
      </c>
      <c r="C31" s="21" t="s">
        <v>72</v>
      </c>
      <c r="D31" s="21" t="s">
        <v>7</v>
      </c>
      <c r="E31" s="20" t="s">
        <v>22</v>
      </c>
      <c r="F31" s="17">
        <v>79</v>
      </c>
      <c r="G31" s="23">
        <v>13750</v>
      </c>
      <c r="H31" s="23">
        <v>1375</v>
      </c>
      <c r="I31" s="24">
        <f t="shared" si="0"/>
        <v>1194875</v>
      </c>
      <c r="J31" s="19"/>
    </row>
    <row r="32" spans="1:12" s="15" customFormat="1" ht="35.1" customHeight="1" x14ac:dyDescent="0.25">
      <c r="A32" s="20">
        <v>27</v>
      </c>
      <c r="B32" s="20" t="s">
        <v>73</v>
      </c>
      <c r="C32" s="21" t="s">
        <v>74</v>
      </c>
      <c r="D32" s="21" t="s">
        <v>75</v>
      </c>
      <c r="E32" s="20" t="s">
        <v>15</v>
      </c>
      <c r="F32" s="22">
        <v>17</v>
      </c>
      <c r="G32" s="23">
        <v>10400</v>
      </c>
      <c r="H32" s="24">
        <v>1040</v>
      </c>
      <c r="I32" s="24">
        <f t="shared" si="0"/>
        <v>194480</v>
      </c>
      <c r="J32" s="19"/>
    </row>
    <row r="33" spans="1:10" s="15" customFormat="1" ht="35.1" customHeight="1" x14ac:dyDescent="0.25">
      <c r="A33" s="20">
        <v>28</v>
      </c>
      <c r="B33" s="20" t="s">
        <v>76</v>
      </c>
      <c r="C33" s="21" t="s">
        <v>77</v>
      </c>
      <c r="D33" s="21" t="s">
        <v>52</v>
      </c>
      <c r="E33" s="20" t="s">
        <v>15</v>
      </c>
      <c r="F33" s="22">
        <v>578</v>
      </c>
      <c r="G33" s="23">
        <v>9500</v>
      </c>
      <c r="H33" s="24">
        <v>950</v>
      </c>
      <c r="I33" s="24">
        <f t="shared" si="0"/>
        <v>6040100</v>
      </c>
      <c r="J33" s="19"/>
    </row>
    <row r="34" spans="1:10" s="15" customFormat="1" ht="35.1" customHeight="1" x14ac:dyDescent="0.25">
      <c r="A34" s="20">
        <v>29</v>
      </c>
      <c r="B34" s="20" t="s">
        <v>78</v>
      </c>
      <c r="C34" s="21" t="s">
        <v>79</v>
      </c>
      <c r="D34" s="21" t="s">
        <v>0</v>
      </c>
      <c r="E34" s="20" t="s">
        <v>15</v>
      </c>
      <c r="F34" s="22">
        <v>270</v>
      </c>
      <c r="G34" s="23">
        <v>12900</v>
      </c>
      <c r="H34" s="24">
        <v>1290</v>
      </c>
      <c r="I34" s="24">
        <f t="shared" si="0"/>
        <v>3831300</v>
      </c>
      <c r="J34" s="19"/>
    </row>
    <row r="35" spans="1:10" s="15" customFormat="1" ht="35.1" customHeight="1" x14ac:dyDescent="0.25">
      <c r="A35" s="20">
        <v>30</v>
      </c>
      <c r="B35" s="20" t="s">
        <v>80</v>
      </c>
      <c r="C35" s="21" t="s">
        <v>81</v>
      </c>
      <c r="D35" s="21" t="s">
        <v>7</v>
      </c>
      <c r="E35" s="20" t="s">
        <v>82</v>
      </c>
      <c r="F35" s="22">
        <v>240</v>
      </c>
      <c r="G35" s="23">
        <v>15000</v>
      </c>
      <c r="H35" s="24">
        <v>1500</v>
      </c>
      <c r="I35" s="24">
        <f t="shared" si="0"/>
        <v>3960000</v>
      </c>
      <c r="J35" s="19"/>
    </row>
    <row r="36" spans="1:10" s="15" customFormat="1" ht="35.1" customHeight="1" x14ac:dyDescent="0.25">
      <c r="A36" s="20">
        <v>31</v>
      </c>
      <c r="B36" s="20" t="s">
        <v>80</v>
      </c>
      <c r="C36" s="21" t="s">
        <v>81</v>
      </c>
      <c r="D36" s="21" t="s">
        <v>7</v>
      </c>
      <c r="E36" s="20" t="s">
        <v>82</v>
      </c>
      <c r="F36" s="22">
        <v>1000</v>
      </c>
      <c r="G36" s="23">
        <v>23500</v>
      </c>
      <c r="H36" s="24">
        <v>0</v>
      </c>
      <c r="I36" s="24">
        <f t="shared" si="0"/>
        <v>23500000</v>
      </c>
      <c r="J36" s="19"/>
    </row>
    <row r="37" spans="1:10" s="15" customFormat="1" ht="35.1" customHeight="1" x14ac:dyDescent="0.25">
      <c r="A37" s="20">
        <v>32</v>
      </c>
      <c r="B37" s="20" t="s">
        <v>83</v>
      </c>
      <c r="C37" s="21" t="s">
        <v>84</v>
      </c>
      <c r="D37" s="21" t="s">
        <v>85</v>
      </c>
      <c r="E37" s="20" t="s">
        <v>15</v>
      </c>
      <c r="F37" s="22">
        <v>171</v>
      </c>
      <c r="G37" s="23">
        <v>45000</v>
      </c>
      <c r="H37" s="24">
        <v>4500</v>
      </c>
      <c r="I37" s="24">
        <f t="shared" si="0"/>
        <v>8464500</v>
      </c>
      <c r="J37" s="19"/>
    </row>
    <row r="38" spans="1:10" s="15" customFormat="1" ht="35.1" customHeight="1" x14ac:dyDescent="0.25">
      <c r="A38" s="20">
        <v>33</v>
      </c>
      <c r="B38" s="20" t="s">
        <v>86</v>
      </c>
      <c r="C38" s="21" t="s">
        <v>87</v>
      </c>
      <c r="D38" s="21" t="s">
        <v>7</v>
      </c>
      <c r="E38" s="20" t="s">
        <v>26</v>
      </c>
      <c r="F38" s="22">
        <v>4</v>
      </c>
      <c r="G38" s="23">
        <v>91000</v>
      </c>
      <c r="H38" s="24">
        <v>9100</v>
      </c>
      <c r="I38" s="24">
        <f t="shared" si="0"/>
        <v>400400</v>
      </c>
      <c r="J38" s="19"/>
    </row>
    <row r="39" spans="1:10" s="15" customFormat="1" ht="35.1" customHeight="1" x14ac:dyDescent="0.25">
      <c r="A39" s="20">
        <v>34</v>
      </c>
      <c r="B39" s="20" t="s">
        <v>88</v>
      </c>
      <c r="C39" s="21" t="s">
        <v>89</v>
      </c>
      <c r="D39" s="21" t="s">
        <v>90</v>
      </c>
      <c r="E39" s="20" t="s">
        <v>15</v>
      </c>
      <c r="F39" s="22">
        <v>30</v>
      </c>
      <c r="G39" s="23">
        <v>10400</v>
      </c>
      <c r="H39" s="24">
        <v>1040</v>
      </c>
      <c r="I39" s="24">
        <f t="shared" si="0"/>
        <v>343200</v>
      </c>
      <c r="J39" s="19"/>
    </row>
    <row r="40" spans="1:10" s="15" customFormat="1" ht="35.1" customHeight="1" x14ac:dyDescent="0.25">
      <c r="A40" s="20">
        <v>35</v>
      </c>
      <c r="B40" s="20" t="s">
        <v>92</v>
      </c>
      <c r="C40" s="21" t="s">
        <v>93</v>
      </c>
      <c r="D40" s="21" t="s">
        <v>7</v>
      </c>
      <c r="E40" s="20" t="s">
        <v>26</v>
      </c>
      <c r="F40" s="22">
        <v>73</v>
      </c>
      <c r="G40" s="23">
        <v>3493.56</v>
      </c>
      <c r="H40" s="24">
        <v>349.36</v>
      </c>
      <c r="I40" s="24">
        <f t="shared" si="0"/>
        <v>280533.16000000003</v>
      </c>
      <c r="J40" s="19"/>
    </row>
    <row r="41" spans="1:10" s="15" customFormat="1" ht="35.1" customHeight="1" x14ac:dyDescent="0.25">
      <c r="A41" s="20">
        <v>36</v>
      </c>
      <c r="B41" s="20" t="s">
        <v>94</v>
      </c>
      <c r="C41" s="21" t="s">
        <v>95</v>
      </c>
      <c r="D41" s="21" t="s">
        <v>7</v>
      </c>
      <c r="E41" s="20" t="s">
        <v>26</v>
      </c>
      <c r="F41" s="22">
        <v>57</v>
      </c>
      <c r="G41" s="23">
        <v>7541.94</v>
      </c>
      <c r="H41" s="24">
        <v>754.19</v>
      </c>
      <c r="I41" s="24">
        <f t="shared" si="0"/>
        <v>472879.41</v>
      </c>
      <c r="J41" s="19"/>
    </row>
    <row r="42" spans="1:10" s="15" customFormat="1" ht="35.1" customHeight="1" x14ac:dyDescent="0.25">
      <c r="A42" s="20">
        <v>37</v>
      </c>
      <c r="B42" s="20" t="s">
        <v>96</v>
      </c>
      <c r="C42" s="21" t="s">
        <v>97</v>
      </c>
      <c r="D42" s="21" t="s">
        <v>7</v>
      </c>
      <c r="E42" s="20" t="s">
        <v>26</v>
      </c>
      <c r="F42" s="22">
        <v>1</v>
      </c>
      <c r="G42" s="23">
        <v>1714.08</v>
      </c>
      <c r="H42" s="24">
        <v>171.29</v>
      </c>
      <c r="I42" s="24">
        <f t="shared" si="0"/>
        <v>1885.37</v>
      </c>
      <c r="J42" s="19"/>
    </row>
    <row r="43" spans="1:10" s="15" customFormat="1" ht="35.1" customHeight="1" x14ac:dyDescent="0.25">
      <c r="A43" s="20">
        <v>38</v>
      </c>
      <c r="B43" s="20" t="s">
        <v>96</v>
      </c>
      <c r="C43" s="21" t="s">
        <v>97</v>
      </c>
      <c r="D43" s="21" t="s">
        <v>7</v>
      </c>
      <c r="E43" s="20" t="s">
        <v>26</v>
      </c>
      <c r="F43" s="22">
        <v>59</v>
      </c>
      <c r="G43" s="23">
        <v>1714.08</v>
      </c>
      <c r="H43" s="24">
        <v>171.41</v>
      </c>
      <c r="I43" s="24">
        <f t="shared" si="0"/>
        <v>111243.91</v>
      </c>
      <c r="J43" s="19"/>
    </row>
    <row r="44" spans="1:10" s="15" customFormat="1" ht="35.1" customHeight="1" x14ac:dyDescent="0.25">
      <c r="A44" s="20">
        <v>39</v>
      </c>
      <c r="B44" s="20" t="s">
        <v>98</v>
      </c>
      <c r="C44" s="21" t="s">
        <v>99</v>
      </c>
      <c r="D44" s="21" t="s">
        <v>7</v>
      </c>
      <c r="E44" s="20" t="s">
        <v>26</v>
      </c>
      <c r="F44" s="22">
        <v>54</v>
      </c>
      <c r="G44" s="23">
        <v>1438</v>
      </c>
      <c r="H44" s="24">
        <v>143.80000000000001</v>
      </c>
      <c r="I44" s="24">
        <f t="shared" si="0"/>
        <v>85417.2</v>
      </c>
      <c r="J44" s="19"/>
    </row>
    <row r="45" spans="1:10" s="15" customFormat="1" ht="35.1" customHeight="1" x14ac:dyDescent="0.25">
      <c r="A45" s="20">
        <v>40</v>
      </c>
      <c r="B45" s="20" t="s">
        <v>100</v>
      </c>
      <c r="C45" s="21" t="s">
        <v>101</v>
      </c>
      <c r="D45" s="21" t="s">
        <v>7</v>
      </c>
      <c r="E45" s="20" t="s">
        <v>26</v>
      </c>
      <c r="F45" s="22">
        <v>30</v>
      </c>
      <c r="G45" s="23">
        <v>2791.67</v>
      </c>
      <c r="H45" s="24">
        <v>279.17</v>
      </c>
      <c r="I45" s="24">
        <f t="shared" si="0"/>
        <v>92125.200000000012</v>
      </c>
      <c r="J45" s="19"/>
    </row>
    <row r="46" spans="1:10" s="15" customFormat="1" ht="35.1" customHeight="1" x14ac:dyDescent="0.25">
      <c r="A46" s="20">
        <v>41</v>
      </c>
      <c r="B46" s="20" t="s">
        <v>102</v>
      </c>
      <c r="C46" s="21" t="s">
        <v>103</v>
      </c>
      <c r="D46" s="21" t="s">
        <v>7</v>
      </c>
      <c r="E46" s="20" t="s">
        <v>15</v>
      </c>
      <c r="F46" s="22">
        <v>1231</v>
      </c>
      <c r="G46" s="23">
        <v>6708.54</v>
      </c>
      <c r="H46" s="24">
        <v>670.85</v>
      </c>
      <c r="I46" s="24">
        <f t="shared" si="0"/>
        <v>9084029.0899999999</v>
      </c>
      <c r="J46" s="19"/>
    </row>
    <row r="47" spans="1:10" s="15" customFormat="1" ht="35.1" customHeight="1" x14ac:dyDescent="0.25">
      <c r="A47" s="20">
        <v>42</v>
      </c>
      <c r="B47" s="20" t="s">
        <v>104</v>
      </c>
      <c r="C47" s="21" t="s">
        <v>105</v>
      </c>
      <c r="D47" s="21" t="s">
        <v>7</v>
      </c>
      <c r="E47" s="20" t="s">
        <v>15</v>
      </c>
      <c r="F47" s="22">
        <v>1</v>
      </c>
      <c r="G47" s="23">
        <v>6938.32</v>
      </c>
      <c r="H47" s="24">
        <v>693.92</v>
      </c>
      <c r="I47" s="24">
        <f t="shared" si="0"/>
        <v>7632.24</v>
      </c>
      <c r="J47" s="19"/>
    </row>
    <row r="48" spans="1:10" s="15" customFormat="1" ht="35.1" customHeight="1" x14ac:dyDescent="0.25">
      <c r="A48" s="20">
        <v>43</v>
      </c>
      <c r="B48" s="20" t="s">
        <v>104</v>
      </c>
      <c r="C48" s="21" t="s">
        <v>105</v>
      </c>
      <c r="D48" s="21" t="s">
        <v>7</v>
      </c>
      <c r="E48" s="20" t="s">
        <v>15</v>
      </c>
      <c r="F48" s="22">
        <v>44</v>
      </c>
      <c r="G48" s="23">
        <v>6938.32</v>
      </c>
      <c r="H48" s="24">
        <v>693.83</v>
      </c>
      <c r="I48" s="24">
        <f t="shared" si="0"/>
        <v>335814.6</v>
      </c>
      <c r="J48" s="19"/>
    </row>
    <row r="49" spans="1:10" s="15" customFormat="1" ht="35.1" customHeight="1" x14ac:dyDescent="0.25">
      <c r="A49" s="20">
        <v>45</v>
      </c>
      <c r="B49" s="20" t="s">
        <v>106</v>
      </c>
      <c r="C49" s="21" t="s">
        <v>107</v>
      </c>
      <c r="D49" s="21" t="s">
        <v>7</v>
      </c>
      <c r="E49" s="20" t="s">
        <v>26</v>
      </c>
      <c r="F49" s="22">
        <v>98</v>
      </c>
      <c r="G49" s="23">
        <v>4154.51</v>
      </c>
      <c r="H49" s="24">
        <v>415.45</v>
      </c>
      <c r="I49" s="24">
        <f t="shared" si="0"/>
        <v>447856.08</v>
      </c>
      <c r="J49" s="19"/>
    </row>
    <row r="50" spans="1:10" s="15" customFormat="1" ht="35.1" customHeight="1" x14ac:dyDescent="0.25">
      <c r="A50" s="20">
        <v>46</v>
      </c>
      <c r="B50" s="20" t="s">
        <v>108</v>
      </c>
      <c r="C50" s="21" t="s">
        <v>109</v>
      </c>
      <c r="D50" s="21" t="s">
        <v>91</v>
      </c>
      <c r="E50" s="20" t="s">
        <v>15</v>
      </c>
      <c r="F50" s="22">
        <v>10</v>
      </c>
      <c r="G50" s="23">
        <v>7500</v>
      </c>
      <c r="H50" s="24">
        <v>750</v>
      </c>
      <c r="I50" s="24">
        <f t="shared" si="0"/>
        <v>82500</v>
      </c>
      <c r="J50" s="19"/>
    </row>
    <row r="51" spans="1:10" s="15" customFormat="1" ht="35.1" customHeight="1" x14ac:dyDescent="0.25">
      <c r="A51" s="20">
        <v>47</v>
      </c>
      <c r="B51" s="20" t="s">
        <v>110</v>
      </c>
      <c r="C51" s="21" t="s">
        <v>111</v>
      </c>
      <c r="D51" s="21" t="s">
        <v>91</v>
      </c>
      <c r="E51" s="20" t="s">
        <v>15</v>
      </c>
      <c r="F51" s="22">
        <v>164</v>
      </c>
      <c r="G51" s="23">
        <v>8500</v>
      </c>
      <c r="H51" s="24">
        <v>850</v>
      </c>
      <c r="I51" s="24">
        <f t="shared" si="0"/>
        <v>1533400</v>
      </c>
      <c r="J51" s="19"/>
    </row>
    <row r="52" spans="1:10" s="15" customFormat="1" ht="35.1" customHeight="1" x14ac:dyDescent="0.25">
      <c r="A52" s="20">
        <v>48</v>
      </c>
      <c r="B52" s="20" t="s">
        <v>110</v>
      </c>
      <c r="C52" s="21" t="s">
        <v>111</v>
      </c>
      <c r="D52" s="21" t="s">
        <v>91</v>
      </c>
      <c r="E52" s="20" t="s">
        <v>15</v>
      </c>
      <c r="F52" s="22">
        <v>25</v>
      </c>
      <c r="G52" s="23">
        <v>4000</v>
      </c>
      <c r="H52" s="24">
        <v>440</v>
      </c>
      <c r="I52" s="24">
        <f t="shared" si="0"/>
        <v>111000</v>
      </c>
      <c r="J52" s="19"/>
    </row>
    <row r="53" spans="1:10" s="15" customFormat="1" ht="35.1" customHeight="1" x14ac:dyDescent="0.25">
      <c r="A53" s="20">
        <v>49</v>
      </c>
      <c r="B53" s="20" t="s">
        <v>112</v>
      </c>
      <c r="C53" s="21" t="s">
        <v>113</v>
      </c>
      <c r="D53" s="21" t="s">
        <v>91</v>
      </c>
      <c r="E53" s="20" t="s">
        <v>15</v>
      </c>
      <c r="F53" s="22">
        <v>193</v>
      </c>
      <c r="G53" s="23">
        <v>9500</v>
      </c>
      <c r="H53" s="24">
        <v>950</v>
      </c>
      <c r="I53" s="24">
        <f t="shared" si="0"/>
        <v>2016850</v>
      </c>
      <c r="J53" s="19"/>
    </row>
    <row r="54" spans="1:10" s="15" customFormat="1" ht="35.1" customHeight="1" x14ac:dyDescent="0.25">
      <c r="A54" s="20">
        <v>50</v>
      </c>
      <c r="B54" s="20" t="s">
        <v>114</v>
      </c>
      <c r="C54" s="21" t="s">
        <v>115</v>
      </c>
      <c r="D54" s="21" t="s">
        <v>91</v>
      </c>
      <c r="E54" s="20" t="s">
        <v>15</v>
      </c>
      <c r="F54" s="22">
        <v>248</v>
      </c>
      <c r="G54" s="23">
        <v>8500</v>
      </c>
      <c r="H54" s="24">
        <v>850</v>
      </c>
      <c r="I54" s="24">
        <f t="shared" si="0"/>
        <v>2318800</v>
      </c>
      <c r="J54" s="19"/>
    </row>
    <row r="55" spans="1:10" s="15" customFormat="1" ht="35.1" customHeight="1" x14ac:dyDescent="0.25">
      <c r="A55" s="20">
        <v>51</v>
      </c>
      <c r="B55" s="20" t="s">
        <v>116</v>
      </c>
      <c r="C55" s="21" t="s">
        <v>117</v>
      </c>
      <c r="D55" s="21" t="s">
        <v>118</v>
      </c>
      <c r="E55" s="20" t="s">
        <v>15</v>
      </c>
      <c r="F55" s="22">
        <v>96</v>
      </c>
      <c r="G55" s="23">
        <v>5759.66</v>
      </c>
      <c r="H55" s="24">
        <v>575.97</v>
      </c>
      <c r="I55" s="24">
        <f t="shared" si="0"/>
        <v>608220.48</v>
      </c>
      <c r="J55" s="19"/>
    </row>
    <row r="56" spans="1:10" s="15" customFormat="1" ht="35.1" customHeight="1" x14ac:dyDescent="0.25">
      <c r="A56" s="20">
        <v>52</v>
      </c>
      <c r="B56" s="20" t="s">
        <v>116</v>
      </c>
      <c r="C56" s="21" t="s">
        <v>117</v>
      </c>
      <c r="D56" s="21" t="s">
        <v>118</v>
      </c>
      <c r="E56" s="20" t="s">
        <v>15</v>
      </c>
      <c r="F56" s="22">
        <v>1</v>
      </c>
      <c r="G56" s="23">
        <v>5759.66</v>
      </c>
      <c r="H56" s="24">
        <v>575.57000000000005</v>
      </c>
      <c r="I56" s="24">
        <f t="shared" si="0"/>
        <v>6335.23</v>
      </c>
      <c r="J56" s="19"/>
    </row>
    <row r="57" spans="1:10" s="15" customFormat="1" ht="35.1" customHeight="1" x14ac:dyDescent="0.25">
      <c r="A57" s="20">
        <v>53</v>
      </c>
      <c r="B57" s="20" t="s">
        <v>119</v>
      </c>
      <c r="C57" s="21" t="s">
        <v>120</v>
      </c>
      <c r="D57" s="21" t="s">
        <v>118</v>
      </c>
      <c r="E57" s="20" t="s">
        <v>15</v>
      </c>
      <c r="F57" s="22">
        <v>1</v>
      </c>
      <c r="G57" s="24">
        <v>1886.96</v>
      </c>
      <c r="H57" s="24">
        <v>188.58</v>
      </c>
      <c r="I57" s="24">
        <f t="shared" si="0"/>
        <v>2075.54</v>
      </c>
      <c r="J57" s="19"/>
    </row>
    <row r="58" spans="1:10" s="15" customFormat="1" ht="35.1" customHeight="1" x14ac:dyDescent="0.25">
      <c r="A58" s="20">
        <v>54</v>
      </c>
      <c r="B58" s="20" t="s">
        <v>119</v>
      </c>
      <c r="C58" s="21" t="s">
        <v>120</v>
      </c>
      <c r="D58" s="21" t="s">
        <v>118</v>
      </c>
      <c r="E58" s="20" t="s">
        <v>15</v>
      </c>
      <c r="F58" s="22">
        <v>29</v>
      </c>
      <c r="G58" s="24">
        <v>1886.96</v>
      </c>
      <c r="H58" s="24">
        <v>188.7</v>
      </c>
      <c r="I58" s="24">
        <f t="shared" si="0"/>
        <v>60194.14</v>
      </c>
      <c r="J58" s="19"/>
    </row>
    <row r="59" spans="1:10" s="15" customFormat="1" ht="35.1" customHeight="1" x14ac:dyDescent="0.25">
      <c r="A59" s="20">
        <v>55</v>
      </c>
      <c r="B59" s="20" t="s">
        <v>121</v>
      </c>
      <c r="C59" s="21" t="s">
        <v>122</v>
      </c>
      <c r="D59" s="21" t="s">
        <v>118</v>
      </c>
      <c r="E59" s="20" t="s">
        <v>15</v>
      </c>
      <c r="F59" s="22">
        <v>1221</v>
      </c>
      <c r="G59" s="23">
        <v>42219.67</v>
      </c>
      <c r="H59" s="24">
        <v>4221.97</v>
      </c>
      <c r="I59" s="24">
        <f t="shared" si="0"/>
        <v>56705242.439999998</v>
      </c>
      <c r="J59" s="19"/>
    </row>
    <row r="60" spans="1:10" s="15" customFormat="1" ht="35.1" customHeight="1" x14ac:dyDescent="0.25">
      <c r="A60" s="20">
        <v>56</v>
      </c>
      <c r="B60" s="20" t="s">
        <v>123</v>
      </c>
      <c r="C60" s="21" t="s">
        <v>124</v>
      </c>
      <c r="D60" s="21" t="s">
        <v>118</v>
      </c>
      <c r="E60" s="20" t="s">
        <v>15</v>
      </c>
      <c r="F60" s="22">
        <v>74</v>
      </c>
      <c r="G60" s="23">
        <v>5854.08</v>
      </c>
      <c r="H60" s="24">
        <v>585.41</v>
      </c>
      <c r="I60" s="24">
        <f t="shared" si="0"/>
        <v>476522.26</v>
      </c>
      <c r="J60" s="19"/>
    </row>
    <row r="61" spans="1:10" s="15" customFormat="1" ht="35.1" customHeight="1" x14ac:dyDescent="0.25">
      <c r="A61" s="20">
        <v>57</v>
      </c>
      <c r="B61" s="20" t="s">
        <v>123</v>
      </c>
      <c r="C61" s="21" t="s">
        <v>124</v>
      </c>
      <c r="D61" s="21" t="s">
        <v>118</v>
      </c>
      <c r="E61" s="20" t="s">
        <v>15</v>
      </c>
      <c r="F61" s="22">
        <v>8</v>
      </c>
      <c r="G61" s="23">
        <v>5854.08</v>
      </c>
      <c r="H61" s="24">
        <v>585.41</v>
      </c>
      <c r="I61" s="24">
        <f t="shared" si="0"/>
        <v>51515.92</v>
      </c>
      <c r="J61" s="19"/>
    </row>
    <row r="62" spans="1:10" s="15" customFormat="1" ht="35.1" customHeight="1" x14ac:dyDescent="0.25">
      <c r="A62" s="20">
        <v>58</v>
      </c>
      <c r="B62" s="20" t="s">
        <v>125</v>
      </c>
      <c r="C62" s="21" t="s">
        <v>126</v>
      </c>
      <c r="D62" s="21" t="s">
        <v>118</v>
      </c>
      <c r="E62" s="20" t="s">
        <v>15</v>
      </c>
      <c r="F62" s="22">
        <v>76</v>
      </c>
      <c r="G62" s="23">
        <v>2738.2</v>
      </c>
      <c r="H62" s="24">
        <v>273.82</v>
      </c>
      <c r="I62" s="24">
        <f t="shared" si="0"/>
        <v>228913.52</v>
      </c>
      <c r="J62" s="19"/>
    </row>
    <row r="63" spans="1:10" s="15" customFormat="1" ht="35.1" customHeight="1" x14ac:dyDescent="0.25">
      <c r="A63" s="20">
        <v>59</v>
      </c>
      <c r="B63" s="20" t="s">
        <v>127</v>
      </c>
      <c r="C63" s="21" t="s">
        <v>128</v>
      </c>
      <c r="D63" s="21" t="s">
        <v>118</v>
      </c>
      <c r="E63" s="20" t="s">
        <v>15</v>
      </c>
      <c r="F63" s="22">
        <v>1</v>
      </c>
      <c r="G63" s="24">
        <v>7443.99</v>
      </c>
      <c r="H63" s="24">
        <v>744.34</v>
      </c>
      <c r="I63" s="24">
        <f t="shared" si="0"/>
        <v>8188.33</v>
      </c>
      <c r="J63" s="19"/>
    </row>
    <row r="64" spans="1:10" s="15" customFormat="1" ht="35.1" customHeight="1" x14ac:dyDescent="0.25">
      <c r="A64" s="20">
        <v>60</v>
      </c>
      <c r="B64" s="20" t="s">
        <v>127</v>
      </c>
      <c r="C64" s="21" t="s">
        <v>128</v>
      </c>
      <c r="D64" s="21" t="s">
        <v>118</v>
      </c>
      <c r="E64" s="20" t="s">
        <v>15</v>
      </c>
      <c r="F64" s="22">
        <v>56</v>
      </c>
      <c r="G64" s="24">
        <v>7443.99</v>
      </c>
      <c r="H64" s="24">
        <v>744.4</v>
      </c>
      <c r="I64" s="24">
        <f t="shared" si="0"/>
        <v>458549.84</v>
      </c>
      <c r="J64" s="19"/>
    </row>
    <row r="65" spans="1:10" s="15" customFormat="1" ht="35.1" customHeight="1" x14ac:dyDescent="0.25">
      <c r="A65" s="20">
        <v>61</v>
      </c>
      <c r="B65" s="20" t="s">
        <v>129</v>
      </c>
      <c r="C65" s="21" t="s">
        <v>130</v>
      </c>
      <c r="D65" s="21" t="s">
        <v>118</v>
      </c>
      <c r="E65" s="20" t="s">
        <v>15</v>
      </c>
      <c r="F65" s="22">
        <v>39</v>
      </c>
      <c r="G65" s="23">
        <v>2875.36</v>
      </c>
      <c r="H65" s="24">
        <v>287.54000000000002</v>
      </c>
      <c r="I65" s="24">
        <f t="shared" si="0"/>
        <v>123353.1</v>
      </c>
      <c r="J65" s="19"/>
    </row>
    <row r="66" spans="1:10" s="15" customFormat="1" ht="35.1" customHeight="1" x14ac:dyDescent="0.25">
      <c r="A66" s="20">
        <v>62</v>
      </c>
      <c r="B66" s="20" t="s">
        <v>131</v>
      </c>
      <c r="C66" s="21" t="s">
        <v>132</v>
      </c>
      <c r="D66" s="21" t="s">
        <v>118</v>
      </c>
      <c r="E66" s="20" t="s">
        <v>15</v>
      </c>
      <c r="F66" s="22">
        <v>5</v>
      </c>
      <c r="G66" s="23">
        <v>1861.11</v>
      </c>
      <c r="H66" s="24">
        <v>186.11</v>
      </c>
      <c r="I66" s="24">
        <f t="shared" si="0"/>
        <v>10236.099999999999</v>
      </c>
      <c r="J66" s="19"/>
    </row>
    <row r="67" spans="1:10" s="15" customFormat="1" ht="35.1" customHeight="1" x14ac:dyDescent="0.25">
      <c r="A67" s="20">
        <v>63</v>
      </c>
      <c r="B67" s="20" t="s">
        <v>133</v>
      </c>
      <c r="C67" s="21" t="s">
        <v>134</v>
      </c>
      <c r="D67" s="21" t="s">
        <v>118</v>
      </c>
      <c r="E67" s="20" t="s">
        <v>15</v>
      </c>
      <c r="F67" s="22">
        <v>71</v>
      </c>
      <c r="G67" s="23">
        <v>100516.75</v>
      </c>
      <c r="H67" s="24">
        <v>10051.68</v>
      </c>
      <c r="I67" s="24">
        <f t="shared" si="0"/>
        <v>7850358.5300000003</v>
      </c>
      <c r="J67" s="19"/>
    </row>
    <row r="68" spans="1:10" s="15" customFormat="1" ht="35.1" customHeight="1" x14ac:dyDescent="0.25">
      <c r="A68" s="20">
        <v>64</v>
      </c>
      <c r="B68" s="20" t="s">
        <v>133</v>
      </c>
      <c r="C68" s="21" t="s">
        <v>134</v>
      </c>
      <c r="D68" s="21" t="s">
        <v>118</v>
      </c>
      <c r="E68" s="20" t="s">
        <v>15</v>
      </c>
      <c r="F68" s="22">
        <v>1</v>
      </c>
      <c r="G68" s="23">
        <v>110567.94</v>
      </c>
      <c r="H68" s="24">
        <v>0</v>
      </c>
      <c r="I68" s="24">
        <f t="shared" si="0"/>
        <v>110567.94</v>
      </c>
      <c r="J68" s="19"/>
    </row>
    <row r="69" spans="1:10" s="15" customFormat="1" ht="35.1" customHeight="1" x14ac:dyDescent="0.25">
      <c r="A69" s="20">
        <v>65</v>
      </c>
      <c r="B69" s="20" t="s">
        <v>133</v>
      </c>
      <c r="C69" s="21" t="s">
        <v>134</v>
      </c>
      <c r="D69" s="21" t="s">
        <v>118</v>
      </c>
      <c r="E69" s="20" t="s">
        <v>15</v>
      </c>
      <c r="F69" s="22">
        <v>7</v>
      </c>
      <c r="G69" s="23">
        <v>100516.75</v>
      </c>
      <c r="H69" s="24">
        <v>10051.68</v>
      </c>
      <c r="I69" s="24">
        <f t="shared" si="0"/>
        <v>773979.01</v>
      </c>
      <c r="J69" s="19"/>
    </row>
    <row r="70" spans="1:10" s="15" customFormat="1" ht="35.1" customHeight="1" x14ac:dyDescent="0.25">
      <c r="A70" s="20">
        <v>66</v>
      </c>
      <c r="B70" s="20" t="s">
        <v>133</v>
      </c>
      <c r="C70" s="21" t="s">
        <v>134</v>
      </c>
      <c r="D70" s="21" t="s">
        <v>118</v>
      </c>
      <c r="E70" s="20" t="s">
        <v>15</v>
      </c>
      <c r="F70" s="22">
        <v>2</v>
      </c>
      <c r="G70" s="23">
        <v>100516.75</v>
      </c>
      <c r="H70" s="24">
        <v>10051.68</v>
      </c>
      <c r="I70" s="24">
        <f t="shared" ref="I70:I72" si="1">(F70*G70)+(F70*H70)</f>
        <v>221136.86</v>
      </c>
      <c r="J70" s="19"/>
    </row>
    <row r="71" spans="1:10" s="15" customFormat="1" ht="35.1" customHeight="1" x14ac:dyDescent="0.25">
      <c r="A71" s="20">
        <v>67</v>
      </c>
      <c r="B71" s="20" t="s">
        <v>133</v>
      </c>
      <c r="C71" s="21" t="s">
        <v>134</v>
      </c>
      <c r="D71" s="21" t="s">
        <v>118</v>
      </c>
      <c r="E71" s="20" t="s">
        <v>15</v>
      </c>
      <c r="F71" s="22">
        <v>16</v>
      </c>
      <c r="G71" s="23">
        <v>100516.75</v>
      </c>
      <c r="H71" s="24">
        <v>1005168</v>
      </c>
      <c r="I71" s="24">
        <f t="shared" si="1"/>
        <v>17690956</v>
      </c>
      <c r="J71" s="19"/>
    </row>
    <row r="72" spans="1:10" s="15" customFormat="1" ht="35.1" customHeight="1" x14ac:dyDescent="0.25">
      <c r="A72" s="20">
        <v>68</v>
      </c>
      <c r="B72" s="20" t="s">
        <v>161</v>
      </c>
      <c r="C72" s="20" t="s">
        <v>160</v>
      </c>
      <c r="D72" s="21" t="s">
        <v>7</v>
      </c>
      <c r="E72" s="20" t="s">
        <v>15</v>
      </c>
      <c r="F72" s="22">
        <v>4500</v>
      </c>
      <c r="G72" s="23">
        <v>3602.27</v>
      </c>
      <c r="H72" s="23">
        <v>0</v>
      </c>
      <c r="I72" s="24">
        <f t="shared" si="1"/>
        <v>16210215</v>
      </c>
      <c r="J72" s="19"/>
    </row>
    <row r="73" spans="1:10" ht="33" customHeight="1" x14ac:dyDescent="0.25">
      <c r="A73" s="14" t="s">
        <v>143</v>
      </c>
      <c r="B73" s="14"/>
      <c r="C73" s="14"/>
      <c r="D73" s="14"/>
      <c r="E73" s="14"/>
      <c r="F73" s="14"/>
      <c r="G73" s="14"/>
      <c r="H73" s="14"/>
      <c r="I73" s="18">
        <f>SUM(I6:I71)</f>
        <v>1357607176.5999997</v>
      </c>
      <c r="J73" s="19"/>
    </row>
    <row r="77" spans="1:10" x14ac:dyDescent="0.25">
      <c r="F77" s="13" t="s">
        <v>159</v>
      </c>
      <c r="G77" s="13"/>
      <c r="H77" s="13"/>
      <c r="I77" s="13"/>
    </row>
    <row r="78" spans="1:10" ht="16.5" x14ac:dyDescent="0.25">
      <c r="F78" s="2"/>
      <c r="G78" s="2"/>
      <c r="H78" s="2"/>
      <c r="I78" s="3"/>
    </row>
    <row r="79" spans="1:10" x14ac:dyDescent="0.25">
      <c r="A79" s="10" t="s">
        <v>144</v>
      </c>
      <c r="B79" s="10"/>
      <c r="C79" s="10"/>
      <c r="F79" s="10" t="s">
        <v>145</v>
      </c>
      <c r="G79" s="10"/>
      <c r="H79" s="10"/>
      <c r="I79" s="10"/>
    </row>
    <row r="80" spans="1:10" x14ac:dyDescent="0.25">
      <c r="A80" s="10" t="s">
        <v>146</v>
      </c>
      <c r="B80" s="10"/>
      <c r="C80" s="10"/>
      <c r="F80" s="10" t="s">
        <v>147</v>
      </c>
      <c r="G80" s="10"/>
      <c r="H80" s="10"/>
      <c r="I80" s="10"/>
    </row>
    <row r="81" spans="1:9" x14ac:dyDescent="0.25">
      <c r="A81" s="10" t="s">
        <v>148</v>
      </c>
      <c r="B81" s="10"/>
      <c r="C81" s="10"/>
      <c r="F81" s="4"/>
      <c r="G81" s="5"/>
      <c r="H81" s="4"/>
      <c r="I81" s="6"/>
    </row>
    <row r="82" spans="1:9" x14ac:dyDescent="0.25">
      <c r="A82" s="7"/>
      <c r="B82" s="5"/>
      <c r="C82" s="7"/>
      <c r="F82" s="4"/>
      <c r="G82" s="5"/>
      <c r="H82" s="4"/>
      <c r="I82" s="6"/>
    </row>
    <row r="83" spans="1:9" x14ac:dyDescent="0.25">
      <c r="A83" s="7"/>
      <c r="B83" s="5"/>
      <c r="C83" s="7"/>
      <c r="F83" s="8"/>
      <c r="G83" s="8"/>
      <c r="H83" s="8"/>
      <c r="I83" s="8"/>
    </row>
    <row r="84" spans="1:9" x14ac:dyDescent="0.25">
      <c r="A84" s="7"/>
      <c r="B84" s="5"/>
      <c r="C84" s="7"/>
      <c r="F84" s="8"/>
      <c r="G84" s="8"/>
      <c r="H84" s="8"/>
      <c r="I84" s="8"/>
    </row>
    <row r="85" spans="1:9" ht="15.75" x14ac:dyDescent="0.25">
      <c r="A85" s="13" t="s">
        <v>149</v>
      </c>
      <c r="B85" s="13"/>
      <c r="C85" s="13"/>
      <c r="F85" s="11" t="s">
        <v>150</v>
      </c>
      <c r="G85" s="11"/>
      <c r="H85" s="11"/>
      <c r="I85" s="11"/>
    </row>
    <row r="86" spans="1:9" ht="15.75" x14ac:dyDescent="0.25">
      <c r="A86" s="11" t="s">
        <v>151</v>
      </c>
      <c r="B86" s="11"/>
      <c r="C86" s="11"/>
      <c r="F86" s="11" t="s">
        <v>152</v>
      </c>
      <c r="G86" s="11"/>
      <c r="H86" s="11"/>
      <c r="I86" s="11"/>
    </row>
    <row r="90" spans="1:9" x14ac:dyDescent="0.25">
      <c r="A90" s="10" t="s">
        <v>153</v>
      </c>
      <c r="B90" s="10"/>
      <c r="C90" s="10"/>
      <c r="D90" s="10"/>
      <c r="E90" s="10"/>
      <c r="F90" s="10"/>
      <c r="G90" s="10"/>
      <c r="H90" s="10"/>
      <c r="I90" s="10"/>
    </row>
    <row r="91" spans="1:9" x14ac:dyDescent="0.25">
      <c r="A91" s="10" t="s">
        <v>154</v>
      </c>
      <c r="B91" s="10"/>
      <c r="C91" s="10"/>
      <c r="D91" s="10"/>
      <c r="E91" s="10"/>
      <c r="F91" s="10"/>
      <c r="G91" s="10"/>
      <c r="H91" s="10"/>
      <c r="I91" s="10"/>
    </row>
    <row r="92" spans="1:9" x14ac:dyDescent="0.25">
      <c r="A92" s="6"/>
      <c r="B92" s="7"/>
      <c r="C92" s="6"/>
      <c r="D92" s="6"/>
      <c r="E92" s="6"/>
      <c r="F92" s="5"/>
      <c r="G92" s="4"/>
      <c r="H92" s="4"/>
      <c r="I92" s="4"/>
    </row>
    <row r="93" spans="1:9" x14ac:dyDescent="0.25">
      <c r="A93" s="6"/>
      <c r="B93" s="7"/>
      <c r="C93" s="6"/>
      <c r="D93" s="6"/>
      <c r="E93" s="6"/>
      <c r="F93" s="8"/>
      <c r="G93" s="4"/>
      <c r="H93" s="4"/>
      <c r="I93" s="4"/>
    </row>
    <row r="94" spans="1:9" x14ac:dyDescent="0.25">
      <c r="A94" s="6"/>
      <c r="B94" s="7"/>
      <c r="C94" s="6"/>
      <c r="D94" s="6"/>
      <c r="E94" s="6"/>
      <c r="F94" s="5"/>
      <c r="G94" s="4"/>
      <c r="H94" s="4"/>
      <c r="I94" s="4"/>
    </row>
    <row r="95" spans="1:9" x14ac:dyDescent="0.25">
      <c r="A95" s="6"/>
      <c r="B95" s="7"/>
      <c r="C95" s="6"/>
      <c r="D95" s="6"/>
      <c r="E95" s="6"/>
      <c r="F95" s="8"/>
      <c r="G95" s="4"/>
      <c r="H95" s="4"/>
      <c r="I95" s="4"/>
    </row>
    <row r="96" spans="1:9" x14ac:dyDescent="0.25">
      <c r="A96" s="10" t="s">
        <v>155</v>
      </c>
      <c r="B96" s="10"/>
      <c r="C96" s="10"/>
      <c r="D96" s="10"/>
      <c r="E96" s="10"/>
      <c r="F96" s="10"/>
      <c r="G96" s="10"/>
      <c r="H96" s="10"/>
      <c r="I96" s="10"/>
    </row>
    <row r="97" spans="1:9" ht="15.75" x14ac:dyDescent="0.25">
      <c r="A97" s="11" t="s">
        <v>156</v>
      </c>
      <c r="B97" s="11"/>
      <c r="C97" s="11"/>
      <c r="D97" s="11"/>
      <c r="E97" s="11"/>
      <c r="F97" s="11"/>
      <c r="G97" s="11"/>
      <c r="H97" s="11"/>
      <c r="I97" s="11"/>
    </row>
  </sheetData>
  <autoFilter ref="A5:I73"/>
  <mergeCells count="17">
    <mergeCell ref="A80:C80"/>
    <mergeCell ref="F80:I80"/>
    <mergeCell ref="A91:I91"/>
    <mergeCell ref="A96:I96"/>
    <mergeCell ref="A97:I97"/>
    <mergeCell ref="A1:I1"/>
    <mergeCell ref="A2:I2"/>
    <mergeCell ref="A81:C81"/>
    <mergeCell ref="A85:C85"/>
    <mergeCell ref="F85:I85"/>
    <mergeCell ref="A86:C86"/>
    <mergeCell ref="F86:I86"/>
    <mergeCell ref="A90:I90"/>
    <mergeCell ref="A73:H73"/>
    <mergeCell ref="F77:I77"/>
    <mergeCell ref="A79:C79"/>
    <mergeCell ref="F79:I79"/>
  </mergeCells>
  <printOptions horizontalCentered="1"/>
  <pageMargins left="0.39370078740157483" right="0.39370078740157483" top="0.39370078740157483" bottom="0.39370078740157483" header="0.31496062992125984" footer="0.31496062992125984"/>
  <pageSetup paperSize="14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KK</vt:lpstr>
      <vt:lpstr>KK!Print_Area</vt:lpstr>
      <vt:lpstr>KK!Print_Titles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PRO</dc:creator>
  <cp:lastModifiedBy>MyPC PRO</cp:lastModifiedBy>
  <cp:lastPrinted>2025-10-13T01:56:56Z</cp:lastPrinted>
  <dcterms:created xsi:type="dcterms:W3CDTF">2025-10-13T01:58:03Z</dcterms:created>
  <dcterms:modified xsi:type="dcterms:W3CDTF">2025-10-13T08:28:21Z</dcterms:modified>
</cp:coreProperties>
</file>
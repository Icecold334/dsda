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TAI" sheetId="1" r:id="rId4"/>
  </sheets>
  <definedNames>
    <definedName hidden="1" localSheetId="0" name="_xlnm._FilterDatabase">PANTAI!$A$5:$K$131</definedName>
  </definedNames>
  <calcPr/>
  <extLst>
    <ext uri="GoogleSheetsCustomDataVersion2">
      <go:sheetsCustomData xmlns:go="http://customooxmlschemas.google.com/" r:id="rId5" roundtripDataChecksum="4bRNAAPYRvWpZfIxMGUDRcicZ/Coxo37LDzNI7TzLK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ID#AAABscpl3HQ
yudis    (2025-10-14 04:44:59)
Masukkan spesifikasi barang
Contoh :
Tutup U-Ditch 400-100/ 600 Mm, Heavy Duty (Hd)</t>
      </text>
    </comment>
    <comment authorId="0" ref="I5">
      <text>
        <t xml:space="preserve">======
ID#AAABscpl3HY
yudis    (2025-10-14 04:44:59)
Masukkan jenis barang "Material / ATK / Perkakas"</t>
      </text>
    </comment>
    <comment authorId="0" ref="J5">
      <text>
        <t xml:space="preserve">======
ID#AAABscpl3HU
yudis    (2025-10-14 04:44:59)
Masukkan jumlah stok</t>
      </text>
    </comment>
    <comment authorId="0" ref="C5">
      <text>
        <t xml:space="preserve">======
ID#AAABscpl3HM
yudis    (2025-10-14 04:44:59)
Masukkan kode barang berdasarkan e-persediaan. 
Contoh : 1.1.7.01.01.01.004.00004</t>
      </text>
    </comment>
    <comment authorId="0" ref="E5">
      <text>
        <t xml:space="preserve">======
ID#AAABscpl3HI
yudis    (2025-10-14 04:44:59)
Masukkan tanggal perolehan barang yang tersedia pada sistem e-persediaan</t>
      </text>
    </comment>
  </commentList>
  <extLst>
    <ext uri="GoogleSheetsCustomDataVersion2">
      <go:sheetsCustomData xmlns:go="http://customooxmlschemas.google.com/" r:id="rId1" roundtripDataSignature="AMtx7mg6t9TkGyIwK5803kwch96y62MlCA=="/>
    </ext>
  </extLst>
</comments>
</file>

<file path=xl/sharedStrings.xml><?xml version="1.0" encoding="utf-8"?>
<sst xmlns="http://schemas.openxmlformats.org/spreadsheetml/2006/main" count="674" uniqueCount="318">
  <si>
    <t>STOCK OPNAME 10 OKTOBER 2025</t>
  </si>
  <si>
    <t>SUDIN SDA KEPULAUAN SERIBU</t>
  </si>
  <si>
    <t>NO</t>
  </si>
  <si>
    <t>GUDANG</t>
  </si>
  <si>
    <t>KODE</t>
  </si>
  <si>
    <t>NAMA ITEM/OBAT</t>
  </si>
  <si>
    <t>TANGGAL OLEH</t>
  </si>
  <si>
    <t>SATUAN</t>
  </si>
  <si>
    <t>HARGA</t>
  </si>
  <si>
    <t>MERK/KEMASAN</t>
  </si>
  <si>
    <t>JENIS BARANG</t>
  </si>
  <si>
    <t>STOCK</t>
  </si>
  <si>
    <t>JUMLAH</t>
  </si>
  <si>
    <t>Gudang Pantai</t>
  </si>
  <si>
    <t>1.1.7.01.01.01.005.00009</t>
  </si>
  <si>
    <t>Batu Pecah</t>
  </si>
  <si>
    <t>M3</t>
  </si>
  <si>
    <t>Ukuran 2/3</t>
  </si>
  <si>
    <t>1.1.7.01.01.01.005.00040</t>
  </si>
  <si>
    <t>Batu Kali</t>
  </si>
  <si>
    <t>Batu Belah</t>
  </si>
  <si>
    <t>1.1.7.01.01.04.001.00002</t>
  </si>
  <si>
    <t>BBM Pertamax</t>
  </si>
  <si>
    <t>Liter</t>
  </si>
  <si>
    <t>Pertamax</t>
  </si>
  <si>
    <t>1.1.7.01.01.04.001.00013</t>
  </si>
  <si>
    <t>BBM Solar</t>
  </si>
  <si>
    <t>Solar</t>
  </si>
  <si>
    <t>1.1.7.02.02.06.001.00086</t>
  </si>
  <si>
    <t>Belokan Talang</t>
  </si>
  <si>
    <t>Buah</t>
  </si>
  <si>
    <t>Belokan Talang Kotak PVC uk. 4 inch</t>
  </si>
  <si>
    <t>1.1.7.01.03.07.006.50027</t>
  </si>
  <si>
    <t>Benang Proyek/Bangunan</t>
  </si>
  <si>
    <t>Roll</t>
  </si>
  <si>
    <t>1.1.7.01.01.01.012.00006</t>
  </si>
  <si>
    <t>Beton Instan</t>
  </si>
  <si>
    <t>ZAK</t>
  </si>
  <si>
    <t>K225</t>
  </si>
  <si>
    <t>1.1.7.01.02.04.006.00100</t>
  </si>
  <si>
    <t>Bulkhead Fitting uk. 2 inch</t>
  </si>
  <si>
    <t>1.1.7.02.02.06.001.00088</t>
  </si>
  <si>
    <t>Corong Talang</t>
  </si>
  <si>
    <t>Kotak PVC uk. 4 inch</t>
  </si>
  <si>
    <t>1.1.7.02.02.06.001.00116</t>
  </si>
  <si>
    <t>Elbow 90</t>
  </si>
  <si>
    <t>Spesifikasi : uk. 6, type AW</t>
  </si>
  <si>
    <t xml:space="preserve">Gudang Abal </t>
  </si>
  <si>
    <t>1.1.7.02.02.06.001.00188</t>
  </si>
  <si>
    <t>Spesifikasi : uk. 2, type AW</t>
  </si>
  <si>
    <t>1.1.7.02.02.06.001.00182</t>
  </si>
  <si>
    <t>Spesifikasi : uk. 3, type AW</t>
  </si>
  <si>
    <t>1.1.7.02.02.06.001.00135</t>
  </si>
  <si>
    <t>Spesifikasi : uk. 4, type AW</t>
  </si>
  <si>
    <t>1.1.7.02.02.06.001.00134</t>
  </si>
  <si>
    <t>1.1.7.02.02.06.001.00117</t>
  </si>
  <si>
    <t>Spesifikasi : uk. 8, type AW</t>
  </si>
  <si>
    <t>1.1.7.02.02.06.001.00169</t>
  </si>
  <si>
    <t>Elbow 45</t>
  </si>
  <si>
    <t>1.1.7.02.02.04.001.00006</t>
  </si>
  <si>
    <t>1.1.7.02.02.04.001.00005</t>
  </si>
  <si>
    <t>1.1.7.01.03.07.015.00002</t>
  </si>
  <si>
    <t>Drum Plastik</t>
  </si>
  <si>
    <t>warna biru uk. 200 Liter</t>
  </si>
  <si>
    <t>1.1.7.02.02.06.003.00001</t>
  </si>
  <si>
    <t>Flange</t>
  </si>
  <si>
    <t>PVC uk. 2 inch</t>
  </si>
  <si>
    <t>1.1.7.01.01.04.003.00049</t>
  </si>
  <si>
    <t>Gemuk</t>
  </si>
  <si>
    <t>Pelumas / Stemplet</t>
  </si>
  <si>
    <t>1.1.7.02.02.03.004.00006</t>
  </si>
  <si>
    <t>Klem / Penjepit</t>
  </si>
  <si>
    <t>Pipa uk. 4 inch</t>
  </si>
  <si>
    <t>1.1.7.01.01.05.002.00061</t>
  </si>
  <si>
    <t>Papan Terentang</t>
  </si>
  <si>
    <t>Lembar</t>
  </si>
  <si>
    <t>uk. 2x20 cm @4 m</t>
  </si>
  <si>
    <t>1.1.7.02.02.06.001.00034</t>
  </si>
  <si>
    <t>Reducer Vlok Sock</t>
  </si>
  <si>
    <t>6x4 type AW</t>
  </si>
  <si>
    <t>1.1.7.02.02.06.001.00161</t>
  </si>
  <si>
    <t>4x3 type AW</t>
  </si>
  <si>
    <t>1.1.7.02.02.06.001.00136</t>
  </si>
  <si>
    <t>4x2 type AW</t>
  </si>
  <si>
    <t>1.1.7.02.02.04.001.00017</t>
  </si>
  <si>
    <t>Sambungan Talang Air Kotak</t>
  </si>
  <si>
    <t>Uk. 4 Inch</t>
  </si>
  <si>
    <t>1.1.7.02.02.06.001.00038</t>
  </si>
  <si>
    <t>Sock Drat Dalam</t>
  </si>
  <si>
    <t>Spesifikasi : uk 1/2 type AW</t>
  </si>
  <si>
    <t>1.1.7.02.02.04.001.00015</t>
  </si>
  <si>
    <t>Spesifikasi : uk 2 type AW</t>
  </si>
  <si>
    <t>1.1.7.02.02.06.001.00037</t>
  </si>
  <si>
    <t>Spesifikasi : uk 1 type AW</t>
  </si>
  <si>
    <t>1.1.7.02.02.06.001.00039</t>
  </si>
  <si>
    <t>Sock Drat Luar</t>
  </si>
  <si>
    <t>1.1.7.02.02.06.003.00031</t>
  </si>
  <si>
    <t>1.1.7.02.02.04.001.00018</t>
  </si>
  <si>
    <t>Sock TY</t>
  </si>
  <si>
    <t>UK 4-6'' AW, merk Rucika</t>
  </si>
  <si>
    <t>1.1.7.02.02.06.001.00098</t>
  </si>
  <si>
    <t>1.1.7.01.02.02.001.02247</t>
  </si>
  <si>
    <t>Specer</t>
  </si>
  <si>
    <t>Steker Listrik</t>
  </si>
  <si>
    <t>1.1.7.01.03.09.007.00108</t>
  </si>
  <si>
    <t>Terpal</t>
  </si>
  <si>
    <t>uk. A12 (6x9) m2</t>
  </si>
  <si>
    <t>1.1.7.01.01.05.002.00049</t>
  </si>
  <si>
    <t>Triplek</t>
  </si>
  <si>
    <t>Spesifikasi uk. 1220x2440x9 mm</t>
  </si>
  <si>
    <t>1.1.7.01.01.05.002.00048</t>
  </si>
  <si>
    <t>Spesifikasi uk. 1220x2440x12 mm</t>
  </si>
  <si>
    <t>1.1.7.02.02.06.001.00087</t>
  </si>
  <si>
    <t>Watermur PVC</t>
  </si>
  <si>
    <t>uk. 1 inch</t>
  </si>
  <si>
    <t>1.1.7.02.02.06.001.00048</t>
  </si>
  <si>
    <t>uk. 2 inch</t>
  </si>
  <si>
    <t>1.1.7.02.02.06.001.00245</t>
  </si>
  <si>
    <t>uk. 3 inch</t>
  </si>
  <si>
    <t>1.1.7.01.03.08.009.00019</t>
  </si>
  <si>
    <t>Air Accu</t>
  </si>
  <si>
    <t>Botol</t>
  </si>
  <si>
    <t>1 LITER</t>
  </si>
  <si>
    <t>Aki 12v-120 Ah, type N120</t>
  </si>
  <si>
    <t>1.1.7.01.01.01.005.00019</t>
  </si>
  <si>
    <t>Batu Bata Merah</t>
  </si>
  <si>
    <t>Spesifikasi : uk 20x10x5cm</t>
  </si>
  <si>
    <t>1.1.7.01.01.01.005.00048</t>
  </si>
  <si>
    <t xml:space="preserve">Batu Bata Ringan </t>
  </si>
  <si>
    <t xml:space="preserve">Buah </t>
  </si>
  <si>
    <t>Spesifikasi : uk 10x20x60cm</t>
  </si>
  <si>
    <t xml:space="preserve">Batu Split/Pecah </t>
  </si>
  <si>
    <t>m3</t>
  </si>
  <si>
    <t xml:space="preserve">Spesifikasi : uk. 2-3cm </t>
  </si>
  <si>
    <t xml:space="preserve">Liter </t>
  </si>
  <si>
    <t xml:space="preserve">BBM Solar </t>
  </si>
  <si>
    <t>1.1.7.01.01.01.012.00078</t>
  </si>
  <si>
    <t xml:space="preserve">Besi Beton Polos </t>
  </si>
  <si>
    <t xml:space="preserve">Batang </t>
  </si>
  <si>
    <t>10 mm.SNI</t>
  </si>
  <si>
    <t>-</t>
  </si>
  <si>
    <t>1.1.7.01.01.01.012.00077</t>
  </si>
  <si>
    <t>84,000.00</t>
  </si>
  <si>
    <t>12 mm.SNI</t>
  </si>
  <si>
    <t>1.1.7.01.01.01.012.00080</t>
  </si>
  <si>
    <t>6 mm.SNI</t>
  </si>
  <si>
    <t>1.1.7.01.01.01.012.00079</t>
  </si>
  <si>
    <t>98,000.00</t>
  </si>
  <si>
    <t>8 mm. SNI</t>
  </si>
  <si>
    <t>1.1.7.01.01.01.002.00027</t>
  </si>
  <si>
    <t xml:space="preserve">Beton Instan </t>
  </si>
  <si>
    <t>Zak</t>
  </si>
  <si>
    <t>3,600.00</t>
  </si>
  <si>
    <t xml:space="preserve">k-175 </t>
  </si>
  <si>
    <t>2,100,000.00</t>
  </si>
  <si>
    <t>k-225</t>
  </si>
  <si>
    <t>1.1.7.01.03.07.006.00017</t>
  </si>
  <si>
    <t>Tali Tambang Nilon</t>
  </si>
  <si>
    <t>Pail</t>
  </si>
  <si>
    <t>1,795,000.00</t>
  </si>
  <si>
    <t>uk. 8 mm</t>
  </si>
  <si>
    <t>1.1.7.02.02.06.001.00090</t>
  </si>
  <si>
    <t>Tee Pipa PVC</t>
  </si>
  <si>
    <t>780,000.00</t>
  </si>
  <si>
    <t>Spesifikasi : uk.6 ",AW</t>
  </si>
  <si>
    <t>1.1.7.02.02.06.001.00165</t>
  </si>
  <si>
    <t>43,845.00</t>
  </si>
  <si>
    <t>Spesifikasi : uk.2 ",AW</t>
  </si>
  <si>
    <t>1.1.7.02.02.06.001.00183</t>
  </si>
  <si>
    <t>28,900.00</t>
  </si>
  <si>
    <t>Spesifikasi : uk.4 ",AW</t>
  </si>
  <si>
    <t>1.1.7.01.03.07.003.00089</t>
  </si>
  <si>
    <t>Jerigen Plastik</t>
  </si>
  <si>
    <t>uk. 25 LITER</t>
  </si>
  <si>
    <t>1.1.7.01.03.08.001.00223</t>
  </si>
  <si>
    <t>Kabel NYYHY 2x1,5 mm2</t>
  </si>
  <si>
    <t>Meter</t>
  </si>
  <si>
    <t>NYYHY 2x1,5 mm2</t>
  </si>
  <si>
    <t>1.1.7.01.03.08.001.00267</t>
  </si>
  <si>
    <t>Kabel NYYHY 4x4 mm2</t>
  </si>
  <si>
    <t>NYYHY 4x4 mm2</t>
  </si>
  <si>
    <t>1.1.7.01.05.01.008.00015</t>
  </si>
  <si>
    <t>Karet Packing</t>
  </si>
  <si>
    <t>uk. 5 cm</t>
  </si>
  <si>
    <t>1.1.7.01.01.01.002.00013</t>
  </si>
  <si>
    <t>Mortar Acian &amp; Plester</t>
  </si>
  <si>
    <t>40 kg</t>
  </si>
  <si>
    <t>1.1.7.01.01.01.002.00016</t>
  </si>
  <si>
    <t>Mortar Perekat bata ringan</t>
  </si>
  <si>
    <t>zak</t>
  </si>
  <si>
    <t>1.1.7.01.01.04.002.00046</t>
  </si>
  <si>
    <t>Oli mesin diesel</t>
  </si>
  <si>
    <t>botol</t>
  </si>
  <si>
    <t>1.1.7.01.01.01.004.00016</t>
  </si>
  <si>
    <t>Pasir Pasang</t>
  </si>
  <si>
    <t>1.1.7.01.01.01.004.00015</t>
  </si>
  <si>
    <t>Pasir Urug</t>
  </si>
  <si>
    <t>1.1.7.02.02.03.004.00032</t>
  </si>
  <si>
    <t>Pipa Galvanis</t>
  </si>
  <si>
    <t>Batang</t>
  </si>
  <si>
    <t>uk. 1 panjang 6 m</t>
  </si>
  <si>
    <t>1.1.7.01.01.01.002.00007</t>
  </si>
  <si>
    <t>Semen</t>
  </si>
  <si>
    <t>50 kg</t>
  </si>
  <si>
    <t>1.1.7.01.01.01.021.00030</t>
  </si>
  <si>
    <t>Thinner</t>
  </si>
  <si>
    <t>KALENG</t>
  </si>
  <si>
    <t>1.1.7.02.02.03.004.00045</t>
  </si>
  <si>
    <t>Tutup Dop</t>
  </si>
  <si>
    <t>pvc uk 2 AW</t>
  </si>
  <si>
    <t>1.1.7.02.02.03.004.00047</t>
  </si>
  <si>
    <t>pvc uk 4 AW</t>
  </si>
  <si>
    <t>1.1.7.02.02.06.001.00091</t>
  </si>
  <si>
    <t>pvc uk 6 AW</t>
  </si>
  <si>
    <t>1.1.7.01.02.01.001.01632</t>
  </si>
  <si>
    <t>Van Belt</t>
  </si>
  <si>
    <t>Blower type A52</t>
  </si>
  <si>
    <t>1.1.7.01.01.01.006.00175</t>
  </si>
  <si>
    <t>CAT MINYAK</t>
  </si>
  <si>
    <t>ISI 5 LITER Cat besi &amp; kayu Glossy merk zinctium</t>
  </si>
  <si>
    <t>463,980.00</t>
  </si>
  <si>
    <t>ISI 5 LITER Cat besi &amp; kayu Glossy</t>
  </si>
  <si>
    <t>1.1.7.01.01.01.012.00007</t>
  </si>
  <si>
    <t>Besi Siku</t>
  </si>
  <si>
    <t>BATANG</t>
  </si>
  <si>
    <t>552,000.00</t>
  </si>
  <si>
    <t>Uk. 60.60.6 Panjang 6 M</t>
  </si>
  <si>
    <t>1.1.7.01.01.01.012.00028</t>
  </si>
  <si>
    <t>Besi Hollow</t>
  </si>
  <si>
    <t>235,000.00</t>
  </si>
  <si>
    <t>2X2X600 cm</t>
  </si>
  <si>
    <t>1.1.7.01.01.01.012.00067</t>
  </si>
  <si>
    <t>4X4X600 Mm Dia. Tebal 2 Mm</t>
  </si>
  <si>
    <t>1.1.7.01.01.01.012.00083</t>
  </si>
  <si>
    <t>Besi Beton</t>
  </si>
  <si>
    <t>13,950.00</t>
  </si>
  <si>
    <t>Polos Diameter 10</t>
  </si>
  <si>
    <t>1.1.7.01.01.01.012.00084</t>
  </si>
  <si>
    <t>13,600.00</t>
  </si>
  <si>
    <t>Polos Diameter 12</t>
  </si>
  <si>
    <t>1.1.7.01.01.01.027.00034</t>
  </si>
  <si>
    <t>Paku</t>
  </si>
  <si>
    <t>KG</t>
  </si>
  <si>
    <t>27,000.00</t>
  </si>
  <si>
    <t>Beton 5-12 cm</t>
  </si>
  <si>
    <t>1.1.7.01.01.01.027.00019</t>
  </si>
  <si>
    <t>Tripleks</t>
  </si>
  <si>
    <t>108,000.00</t>
  </si>
  <si>
    <t>1.1.7.01.01.05.001.00020</t>
  </si>
  <si>
    <t>Kawat</t>
  </si>
  <si>
    <t>Beton</t>
  </si>
  <si>
    <t>26,418.00</t>
  </si>
  <si>
    <t>1.1.7.01.01.05.002.00011</t>
  </si>
  <si>
    <t>Kayu Kaso Meranti</t>
  </si>
  <si>
    <t>45,475.00</t>
  </si>
  <si>
    <t>Kaso uk 5/7</t>
  </si>
  <si>
    <t>1.1.7.01.01.05.002.00058</t>
  </si>
  <si>
    <t>Kayu Balok</t>
  </si>
  <si>
    <t>155,000.00</t>
  </si>
  <si>
    <t>Meranti uk. 8x12x400 cm</t>
  </si>
  <si>
    <t>1.1.7.01.01.05.002.00057</t>
  </si>
  <si>
    <t>Kayu Lapis</t>
  </si>
  <si>
    <t>LEMBAR</t>
  </si>
  <si>
    <t>Tripleks Uk. 1220x2440x12 mm</t>
  </si>
  <si>
    <t>1.1.7.01.03.01.010.00002</t>
  </si>
  <si>
    <t>Lem Pipa uPVC</t>
  </si>
  <si>
    <t>BUAH</t>
  </si>
  <si>
    <t>400 Gr</t>
  </si>
  <si>
    <t>54,875.00</t>
  </si>
  <si>
    <t>1.1.7.01.03.08.002.00358</t>
  </si>
  <si>
    <t>Lampu Led</t>
  </si>
  <si>
    <t>19 W</t>
  </si>
  <si>
    <t>18 W</t>
  </si>
  <si>
    <t>145,000.00</t>
  </si>
  <si>
    <t>1.1.7.02.02.06.001.00004</t>
  </si>
  <si>
    <t>Pipa Pvc Dia. 1/ 2</t>
  </si>
  <si>
    <t>32,500.00</t>
  </si>
  <si>
    <t>Type Aw</t>
  </si>
  <si>
    <t>1.1.7.02.02.06.001.00125</t>
  </si>
  <si>
    <t>Pipa Pvc Dia. 4</t>
  </si>
  <si>
    <t>375,210.00</t>
  </si>
  <si>
    <t>1.1.7.02.02.06.001.00006</t>
  </si>
  <si>
    <t>Pipa Pvc Dia. 1</t>
  </si>
  <si>
    <t>1.1.7.02.02.06.001.00124</t>
  </si>
  <si>
    <t>Pipa Pvc Dia. 3</t>
  </si>
  <si>
    <t>1.1.7.02.02.06.001.00122</t>
  </si>
  <si>
    <t>Pipa Pvc Dia. 2</t>
  </si>
  <si>
    <t>795,960.00</t>
  </si>
  <si>
    <t>1.1.7.02.02.06.001.00127</t>
  </si>
  <si>
    <t>Pipa Pvc Dia. 6</t>
  </si>
  <si>
    <t>829,950.00</t>
  </si>
  <si>
    <t>1.1.7.02.02.06.001.00139</t>
  </si>
  <si>
    <t>Tee 3"</t>
  </si>
  <si>
    <t>28,750.00</t>
  </si>
  <si>
    <t>Type AW</t>
  </si>
  <si>
    <t>1.1.7.02.02.06.001.00013</t>
  </si>
  <si>
    <t>Tee 8"</t>
  </si>
  <si>
    <t>Tee 6"</t>
  </si>
  <si>
    <t>3,599.00</t>
  </si>
  <si>
    <t xml:space="preserve">1.1.7.02.02.06.001.00244
</t>
  </si>
  <si>
    <t>490,000.00</t>
  </si>
  <si>
    <t>Uk : 4</t>
  </si>
  <si>
    <t>1.1.7.01.01.01.020.00006</t>
  </si>
  <si>
    <t>Karung</t>
  </si>
  <si>
    <t>1,650.00</t>
  </si>
  <si>
    <t>Barang plastik anyaman ukuran 45x75 cm, 25 kg</t>
  </si>
  <si>
    <t>1.1.7.01.01.01.019.00002</t>
  </si>
  <si>
    <t>Kawat Bronjong</t>
  </si>
  <si>
    <t>UNIT</t>
  </si>
  <si>
    <t>298,870.00</t>
  </si>
  <si>
    <t>Uk. 0,5 m x 1m x 2m</t>
  </si>
  <si>
    <t>Kawat Las</t>
  </si>
  <si>
    <t>Kg</t>
  </si>
  <si>
    <t>2,0 mm</t>
  </si>
  <si>
    <t>1,6 mm</t>
  </si>
  <si>
    <t>2,6 mm</t>
  </si>
  <si>
    <t>221,375.00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</si>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</sst>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_-* #,##0.00_-;\-* #,##0.00_-;_-* &quot;-&quot;_-;_-@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/>
    <font>
      <b/>
      <sz val="16.0"/>
      <color theme="1"/>
      <name val="Calibri"/>
    </font>
    <font>
      <b/>
      <sz val="11.0"/>
      <color rgb="FFFFFFFF"/>
      <name val="Arial"/>
    </font>
    <font>
      <sz val="12.0"/>
      <color theme="1"/>
      <name val="Calibri"/>
    </font>
    <font>
      <sz val="12.0"/>
      <color theme="1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682B4"/>
        <bgColor rgb="FF4682B4"/>
      </patternFill>
    </fill>
  </fills>
  <borders count="18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medium">
        <color theme="1"/>
      </left>
      <top style="medium">
        <color theme="1"/>
      </top>
      <bottom style="hair">
        <color theme="1"/>
      </bottom>
    </border>
    <border>
      <left style="medium">
        <color theme="1"/>
      </left>
      <right style="medium">
        <color theme="1"/>
      </right>
    </border>
    <border>
      <left style="medium">
        <color theme="1"/>
      </left>
      <right style="medium">
        <color theme="1"/>
      </right>
      <top style="medium">
        <color theme="1"/>
      </top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rgb="FFCCCCCC"/>
      </bottom>
    </border>
    <border>
      <left style="medium">
        <color theme="1"/>
      </left>
      <right style="medium">
        <color theme="1"/>
      </right>
      <top style="medium">
        <color theme="1"/>
      </top>
      <bottom style="hair">
        <color theme="1"/>
      </bottom>
    </border>
    <border>
      <left style="medium">
        <color theme="1"/>
      </left>
      <top style="hair">
        <color theme="1"/>
      </top>
      <bottom style="hair">
        <color theme="1"/>
      </bottom>
    </border>
    <border>
      <left style="medium">
        <color theme="1"/>
      </left>
      <right style="medium">
        <color theme="1"/>
      </right>
      <top style="medium">
        <color rgb="FFCCCCCC"/>
      </top>
      <bottom style="medium">
        <color rgb="FFCCCCCC"/>
      </bottom>
    </border>
    <border>
      <left style="medium">
        <color theme="1"/>
      </left>
      <right style="medium">
        <color theme="1"/>
      </right>
      <top style="hair">
        <color theme="1"/>
      </top>
      <bottom style="hair">
        <color theme="1"/>
      </bottom>
    </border>
    <border>
      <left style="medium">
        <color theme="1"/>
      </left>
      <right style="medium">
        <color theme="1"/>
      </right>
      <top style="hair">
        <color theme="1"/>
      </top>
      <bottom style="medium">
        <color rgb="FF000000"/>
      </bottom>
    </border>
    <border>
      <left style="medium">
        <color theme="1"/>
      </left>
      <right style="medium">
        <color theme="1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shrinkToFit="0" wrapText="1"/>
    </xf>
    <xf borderId="1" fillId="2" fontId="5" numFmtId="0" xfId="0" applyAlignment="1" applyBorder="1" applyFill="1" applyFont="1">
      <alignment horizontal="center" shrinkToFit="0" wrapText="1"/>
    </xf>
    <xf borderId="5" fillId="2" fontId="5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left" shrinkToFit="0" vertical="center" wrapText="1"/>
    </xf>
    <xf borderId="8" fillId="0" fontId="7" numFmtId="14" xfId="0" applyAlignment="1" applyBorder="1" applyFont="1" applyNumberFormat="1">
      <alignment horizontal="left" vertical="center"/>
    </xf>
    <xf borderId="10" fillId="0" fontId="7" numFmtId="164" xfId="0" applyAlignment="1" applyBorder="1" applyFont="1" applyNumberFormat="1">
      <alignment horizontal="left" shrinkToFit="0" wrapText="1"/>
    </xf>
    <xf borderId="10" fillId="0" fontId="7" numFmtId="0" xfId="0" applyAlignment="1" applyBorder="1" applyFont="1">
      <alignment shrinkToFit="0" wrapText="1"/>
    </xf>
    <xf borderId="9" fillId="0" fontId="6" numFmtId="2" xfId="0" applyAlignment="1" applyBorder="1" applyFont="1" applyNumberFormat="1">
      <alignment horizontal="right" shrinkToFit="0" wrapText="1"/>
    </xf>
    <xf borderId="10" fillId="0" fontId="1" numFmtId="164" xfId="0" applyAlignment="1" applyBorder="1" applyFont="1" applyNumberFormat="1">
      <alignment shrinkToFit="0" wrapText="1"/>
    </xf>
    <xf borderId="4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left" shrinkToFit="0" vertical="center" wrapText="1"/>
    </xf>
    <xf borderId="7" fillId="0" fontId="7" numFmtId="14" xfId="0" applyAlignment="1" applyBorder="1" applyFont="1" applyNumberFormat="1">
      <alignment horizontal="left"/>
    </xf>
    <xf borderId="13" fillId="0" fontId="7" numFmtId="164" xfId="0" applyAlignment="1" applyBorder="1" applyFont="1" applyNumberFormat="1">
      <alignment horizontal="left" shrinkToFit="0" wrapText="1"/>
    </xf>
    <xf borderId="13" fillId="0" fontId="7" numFmtId="0" xfId="0" applyAlignment="1" applyBorder="1" applyFont="1">
      <alignment shrinkToFit="0" wrapText="1"/>
    </xf>
    <xf borderId="12" fillId="0" fontId="6" numFmtId="2" xfId="0" applyAlignment="1" applyBorder="1" applyFont="1" applyNumberFormat="1">
      <alignment horizontal="right" shrinkToFit="0" wrapText="1"/>
    </xf>
    <xf borderId="13" fillId="0" fontId="1" numFmtId="164" xfId="0" applyAlignment="1" applyBorder="1" applyFont="1" applyNumberFormat="1">
      <alignment shrinkToFit="0" wrapText="1"/>
    </xf>
    <xf borderId="7" fillId="0" fontId="6" numFmtId="0" xfId="0" applyAlignment="1" applyBorder="1" applyFont="1">
      <alignment horizontal="center" vertical="top"/>
    </xf>
    <xf borderId="7" fillId="0" fontId="7" numFmtId="164" xfId="0" applyAlignment="1" applyBorder="1" applyFont="1" applyNumberFormat="1">
      <alignment horizontal="left" shrinkToFit="0" wrapText="1"/>
    </xf>
    <xf borderId="7" fillId="0" fontId="7" numFmtId="14" xfId="0" applyAlignment="1" applyBorder="1" applyFont="1" applyNumberFormat="1">
      <alignment horizontal="left" vertical="center"/>
    </xf>
    <xf borderId="11" fillId="0" fontId="1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left" shrinkToFit="0" wrapText="1"/>
    </xf>
    <xf borderId="13" fillId="0" fontId="6" numFmtId="0" xfId="0" applyAlignment="1" applyBorder="1" applyFont="1">
      <alignment shrinkToFit="0" wrapText="1"/>
    </xf>
    <xf borderId="13" fillId="0" fontId="1" numFmtId="0" xfId="0" applyAlignment="1" applyBorder="1" applyFont="1">
      <alignment shrinkToFit="0" wrapText="1"/>
    </xf>
    <xf borderId="12" fillId="0" fontId="7" numFmtId="14" xfId="0" applyAlignment="1" applyBorder="1" applyFont="1" applyNumberFormat="1">
      <alignment horizontal="left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12" fillId="0" fontId="7" numFmtId="3" xfId="0" applyAlignment="1" applyBorder="1" applyFont="1" applyNumberFormat="1">
      <alignment horizontal="right" shrinkToFit="0" wrapText="1"/>
    </xf>
    <xf borderId="12" fillId="0" fontId="6" numFmtId="165" xfId="0" applyAlignment="1" applyBorder="1" applyFont="1" applyNumberFormat="1">
      <alignment horizontal="right" shrinkToFit="0" wrapText="1"/>
    </xf>
    <xf borderId="12" fillId="0" fontId="7" numFmtId="0" xfId="0" applyAlignment="1" applyBorder="1" applyFont="1">
      <alignment horizontal="right" shrinkToFit="0" wrapText="1"/>
    </xf>
    <xf borderId="7" fillId="0" fontId="6" numFmtId="0" xfId="0" applyAlignment="1" applyBorder="1" applyFont="1">
      <alignment horizontal="center" shrinkToFit="0" vertical="top" wrapText="1"/>
    </xf>
    <xf borderId="13" fillId="0" fontId="1" numFmtId="0" xfId="0" applyAlignment="1" applyBorder="1" applyFont="1">
      <alignment horizontal="center" shrinkToFit="0" vertical="center" wrapText="1"/>
    </xf>
    <xf borderId="12" fillId="0" fontId="7" numFmtId="4" xfId="0" applyAlignment="1" applyBorder="1" applyFont="1" applyNumberFormat="1">
      <alignment horizontal="right" shrinkToFit="0" wrapText="1"/>
    </xf>
    <xf borderId="12" fillId="0" fontId="6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shrinkToFit="0" wrapText="1"/>
    </xf>
    <xf borderId="12" fillId="0" fontId="7" numFmtId="14" xfId="0" applyAlignment="1" applyBorder="1" applyFont="1" applyNumberFormat="1">
      <alignment horizontal="center" shrinkToFit="0" vertical="center" wrapText="1"/>
    </xf>
    <xf borderId="12" fillId="0" fontId="7" numFmtId="164" xfId="0" applyAlignment="1" applyBorder="1" applyFont="1" applyNumberFormat="1">
      <alignment horizontal="right" shrinkToFit="0" wrapText="1"/>
    </xf>
    <xf borderId="12" fillId="0" fontId="6" numFmtId="164" xfId="0" applyAlignment="1" applyBorder="1" applyFont="1" applyNumberFormat="1">
      <alignment horizontal="right" shrinkToFit="0" wrapText="1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4" fillId="0" fontId="6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6" fillId="0" fontId="8" numFmtId="0" xfId="0" applyAlignment="1" applyBorder="1" applyFont="1">
      <alignment horizontal="center" shrinkToFit="0" vertical="center" wrapText="1"/>
    </xf>
    <xf borderId="16" fillId="0" fontId="8" numFmtId="164" xfId="0" applyAlignment="1" applyBorder="1" applyFont="1" applyNumberFormat="1">
      <alignment shrinkToFit="0" wrapText="1"/>
    </xf>
    <xf borderId="17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0.0"/>
    <col customWidth="1" min="3" max="3" width="24.86"/>
    <col customWidth="1" min="4" max="4" width="25.86"/>
    <col customWidth="1" min="5" max="5" width="18.14"/>
    <col customWidth="1" hidden="1" min="7" max="7" width="23.71"/>
    <col customWidth="1" min="8" max="8" width="64.43"/>
    <col customWidth="1" min="9" max="9" width="20.43"/>
    <col customWidth="1" min="10" max="10" width="13.86"/>
    <col customWidth="1" hidden="1" min="11" max="11" width="13.71"/>
    <col customWidth="1" hidden="1" min="12" max="12" width="13.29"/>
    <col customWidth="1" hidden="1" min="13" max="14" width="8.86"/>
    <col customWidth="1" min="15" max="15" width="9.43"/>
    <col customWidth="1" min="16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1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4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6" t="s">
        <v>2</v>
      </c>
      <c r="B5" s="7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1"/>
      <c r="M5" s="1"/>
      <c r="N5" s="1"/>
      <c r="O5" s="1"/>
      <c r="P5" s="1"/>
      <c r="Q5" s="1"/>
      <c r="R5" s="1"/>
      <c r="S5" s="1"/>
      <c r="T5" s="1"/>
    </row>
    <row r="6">
      <c r="A6" s="8"/>
      <c r="B6" s="9" t="s">
        <v>13</v>
      </c>
      <c r="C6" s="10" t="s">
        <v>14</v>
      </c>
      <c r="D6" s="11" t="s">
        <v>15</v>
      </c>
      <c r="E6" s="12"/>
      <c r="F6" s="11" t="s">
        <v>16</v>
      </c>
      <c r="G6" s="13"/>
      <c r="H6" s="11" t="s">
        <v>17</v>
      </c>
      <c r="I6" s="14"/>
      <c r="J6" s="15">
        <f>592/72</f>
        <v>8.222222222</v>
      </c>
      <c r="K6" s="16">
        <f t="shared" ref="K6:K7" si="1">G6*J6</f>
        <v>0</v>
      </c>
      <c r="L6" s="17"/>
      <c r="M6" s="1"/>
      <c r="N6" s="1"/>
      <c r="O6" s="1"/>
      <c r="P6" s="1"/>
      <c r="Q6" s="1"/>
      <c r="R6" s="1"/>
      <c r="S6" s="1"/>
      <c r="T6" s="1"/>
    </row>
    <row r="7">
      <c r="A7" s="18"/>
      <c r="B7" s="9" t="s">
        <v>13</v>
      </c>
      <c r="C7" s="19" t="s">
        <v>18</v>
      </c>
      <c r="D7" s="20" t="s">
        <v>19</v>
      </c>
      <c r="E7" s="21"/>
      <c r="F7" s="20" t="s">
        <v>16</v>
      </c>
      <c r="G7" s="22"/>
      <c r="H7" s="20" t="s">
        <v>20</v>
      </c>
      <c r="I7" s="23"/>
      <c r="J7" s="24">
        <v>20.3</v>
      </c>
      <c r="K7" s="25">
        <f t="shared" si="1"/>
        <v>0</v>
      </c>
      <c r="L7" s="17"/>
      <c r="M7" s="1"/>
      <c r="N7" s="1"/>
      <c r="O7" s="1"/>
      <c r="P7" s="1"/>
      <c r="Q7" s="1"/>
      <c r="R7" s="1"/>
      <c r="S7" s="1"/>
      <c r="T7" s="1"/>
    </row>
    <row r="8">
      <c r="A8" s="18"/>
      <c r="B8" s="9" t="s">
        <v>13</v>
      </c>
      <c r="C8" s="19" t="s">
        <v>21</v>
      </c>
      <c r="D8" s="20" t="s">
        <v>22</v>
      </c>
      <c r="E8" s="21"/>
      <c r="F8" s="20" t="s">
        <v>23</v>
      </c>
      <c r="G8" s="22"/>
      <c r="H8" s="20" t="s">
        <v>24</v>
      </c>
      <c r="I8" s="23"/>
      <c r="J8" s="24">
        <v>65.0</v>
      </c>
      <c r="K8" s="25"/>
      <c r="L8" s="17"/>
      <c r="M8" s="1"/>
      <c r="N8" s="1"/>
      <c r="O8" s="1"/>
      <c r="P8" s="1"/>
      <c r="Q8" s="1"/>
      <c r="R8" s="1"/>
      <c r="S8" s="1"/>
      <c r="T8" s="1"/>
    </row>
    <row r="9">
      <c r="A9" s="18"/>
      <c r="B9" s="9" t="s">
        <v>13</v>
      </c>
      <c r="C9" s="19" t="s">
        <v>25</v>
      </c>
      <c r="D9" s="20" t="s">
        <v>26</v>
      </c>
      <c r="E9" s="21"/>
      <c r="F9" s="20" t="s">
        <v>23</v>
      </c>
      <c r="G9" s="22"/>
      <c r="H9" s="20" t="s">
        <v>27</v>
      </c>
      <c r="I9" s="23"/>
      <c r="J9" s="24">
        <v>75.0</v>
      </c>
      <c r="K9" s="25"/>
      <c r="L9" s="17"/>
      <c r="M9" s="1"/>
      <c r="N9" s="1"/>
      <c r="O9" s="1"/>
      <c r="P9" s="1"/>
      <c r="Q9" s="1"/>
      <c r="R9" s="1"/>
      <c r="S9" s="1"/>
      <c r="T9" s="1"/>
    </row>
    <row r="10">
      <c r="A10" s="18"/>
      <c r="B10" s="9" t="s">
        <v>13</v>
      </c>
      <c r="C10" s="19" t="s">
        <v>28</v>
      </c>
      <c r="D10" s="20" t="s">
        <v>29</v>
      </c>
      <c r="E10" s="21"/>
      <c r="F10" s="20" t="s">
        <v>30</v>
      </c>
      <c r="G10" s="22"/>
      <c r="H10" s="20" t="s">
        <v>31</v>
      </c>
      <c r="I10" s="23"/>
      <c r="J10" s="24">
        <v>14.0</v>
      </c>
      <c r="K10" s="25"/>
      <c r="L10" s="17"/>
      <c r="M10" s="1"/>
      <c r="N10" s="1"/>
      <c r="O10" s="1"/>
      <c r="P10" s="1"/>
      <c r="Q10" s="1"/>
      <c r="R10" s="1"/>
      <c r="S10" s="1"/>
      <c r="T10" s="1"/>
    </row>
    <row r="11">
      <c r="A11" s="18"/>
      <c r="B11" s="9" t="s">
        <v>13</v>
      </c>
      <c r="C11" s="19" t="s">
        <v>32</v>
      </c>
      <c r="D11" s="20" t="s">
        <v>33</v>
      </c>
      <c r="E11" s="21"/>
      <c r="F11" s="20" t="s">
        <v>34</v>
      </c>
      <c r="G11" s="22"/>
      <c r="H11" s="20"/>
      <c r="I11" s="23"/>
      <c r="J11" s="24">
        <v>8.0</v>
      </c>
      <c r="K11" s="25"/>
      <c r="L11" s="17"/>
      <c r="M11" s="1"/>
      <c r="N11" s="1"/>
      <c r="O11" s="1"/>
      <c r="P11" s="1"/>
      <c r="Q11" s="1"/>
      <c r="R11" s="1"/>
      <c r="S11" s="1"/>
      <c r="T11" s="1"/>
    </row>
    <row r="12">
      <c r="A12" s="18"/>
      <c r="B12" s="9" t="s">
        <v>13</v>
      </c>
      <c r="C12" s="19" t="s">
        <v>35</v>
      </c>
      <c r="D12" s="20" t="s">
        <v>36</v>
      </c>
      <c r="E12" s="21"/>
      <c r="F12" s="20" t="s">
        <v>37</v>
      </c>
      <c r="G12" s="22"/>
      <c r="H12" s="20" t="s">
        <v>38</v>
      </c>
      <c r="I12" s="23"/>
      <c r="J12" s="24">
        <v>345.0</v>
      </c>
      <c r="K12" s="25"/>
      <c r="L12" s="17"/>
      <c r="M12" s="1"/>
      <c r="N12" s="1"/>
      <c r="O12" s="1"/>
      <c r="P12" s="1"/>
      <c r="Q12" s="1"/>
      <c r="R12" s="1"/>
      <c r="S12" s="1"/>
      <c r="T12" s="1"/>
    </row>
    <row r="13" ht="18.0" customHeight="1">
      <c r="A13" s="18"/>
      <c r="B13" s="9" t="s">
        <v>13</v>
      </c>
      <c r="C13" s="19" t="s">
        <v>39</v>
      </c>
      <c r="D13" s="20" t="s">
        <v>40</v>
      </c>
      <c r="E13" s="21"/>
      <c r="F13" s="20" t="s">
        <v>30</v>
      </c>
      <c r="G13" s="22"/>
      <c r="H13" s="20"/>
      <c r="I13" s="23"/>
      <c r="J13" s="24">
        <v>19.0</v>
      </c>
      <c r="K13" s="25"/>
      <c r="L13" s="17"/>
      <c r="M13" s="1"/>
      <c r="N13" s="1"/>
      <c r="O13" s="1"/>
      <c r="P13" s="1"/>
      <c r="Q13" s="1"/>
      <c r="R13" s="1"/>
      <c r="S13" s="1"/>
      <c r="T13" s="1"/>
    </row>
    <row r="14">
      <c r="A14" s="18"/>
      <c r="B14" s="9" t="s">
        <v>13</v>
      </c>
      <c r="C14" s="19" t="s">
        <v>41</v>
      </c>
      <c r="D14" s="20" t="s">
        <v>42</v>
      </c>
      <c r="E14" s="21"/>
      <c r="F14" s="20" t="s">
        <v>30</v>
      </c>
      <c r="G14" s="22"/>
      <c r="H14" s="20" t="s">
        <v>43</v>
      </c>
      <c r="I14" s="23"/>
      <c r="J14" s="24">
        <v>17.0</v>
      </c>
      <c r="K14" s="25"/>
      <c r="L14" s="17"/>
      <c r="M14" s="1"/>
      <c r="N14" s="1"/>
      <c r="O14" s="1"/>
      <c r="P14" s="1"/>
      <c r="Q14" s="1"/>
      <c r="R14" s="1"/>
      <c r="S14" s="1"/>
      <c r="T14" s="1"/>
    </row>
    <row r="15">
      <c r="A15" s="18"/>
      <c r="B15" s="9" t="s">
        <v>13</v>
      </c>
      <c r="C15" s="19" t="s">
        <v>44</v>
      </c>
      <c r="D15" s="20" t="s">
        <v>45</v>
      </c>
      <c r="E15" s="21"/>
      <c r="F15" s="20" t="s">
        <v>30</v>
      </c>
      <c r="G15" s="22"/>
      <c r="H15" s="20" t="s">
        <v>46</v>
      </c>
      <c r="I15" s="23"/>
      <c r="J15" s="24">
        <v>1.0</v>
      </c>
      <c r="K15" s="25"/>
      <c r="L15" s="17"/>
      <c r="M15" s="1"/>
      <c r="N15" s="1"/>
      <c r="O15" s="1"/>
      <c r="P15" s="1"/>
      <c r="Q15" s="1"/>
      <c r="R15" s="1"/>
      <c r="S15" s="1"/>
      <c r="T15" s="1"/>
    </row>
    <row r="16" hidden="1">
      <c r="A16" s="18"/>
      <c r="B16" s="9" t="s">
        <v>47</v>
      </c>
      <c r="C16" s="19" t="s">
        <v>44</v>
      </c>
      <c r="D16" s="20" t="s">
        <v>45</v>
      </c>
      <c r="E16" s="21"/>
      <c r="F16" s="20" t="s">
        <v>30</v>
      </c>
      <c r="G16" s="22"/>
      <c r="H16" s="20" t="s">
        <v>46</v>
      </c>
      <c r="I16" s="23"/>
      <c r="J16" s="24">
        <v>30.0</v>
      </c>
      <c r="K16" s="25"/>
      <c r="L16" s="17"/>
      <c r="M16" s="1"/>
      <c r="N16" s="1"/>
      <c r="O16" s="1"/>
      <c r="P16" s="1"/>
      <c r="Q16" s="1"/>
      <c r="R16" s="1"/>
      <c r="S16" s="1"/>
      <c r="T16" s="1"/>
    </row>
    <row r="17" hidden="1">
      <c r="A17" s="18"/>
      <c r="B17" s="9" t="s">
        <v>47</v>
      </c>
      <c r="C17" s="19" t="s">
        <v>48</v>
      </c>
      <c r="D17" s="20" t="s">
        <v>45</v>
      </c>
      <c r="E17" s="21"/>
      <c r="F17" s="20" t="s">
        <v>30</v>
      </c>
      <c r="G17" s="22"/>
      <c r="H17" s="20" t="s">
        <v>49</v>
      </c>
      <c r="I17" s="23"/>
      <c r="J17" s="24">
        <v>6.0</v>
      </c>
      <c r="K17" s="25"/>
      <c r="L17" s="17"/>
      <c r="M17" s="1"/>
      <c r="N17" s="1"/>
      <c r="O17" s="1"/>
      <c r="P17" s="1"/>
      <c r="Q17" s="1"/>
      <c r="R17" s="1"/>
      <c r="S17" s="1"/>
      <c r="T17" s="1"/>
    </row>
    <row r="18" hidden="1">
      <c r="A18" s="18"/>
      <c r="B18" s="9" t="s">
        <v>47</v>
      </c>
      <c r="C18" s="19" t="s">
        <v>50</v>
      </c>
      <c r="D18" s="20" t="s">
        <v>45</v>
      </c>
      <c r="E18" s="21"/>
      <c r="F18" s="20" t="s">
        <v>30</v>
      </c>
      <c r="G18" s="22"/>
      <c r="H18" s="20" t="s">
        <v>51</v>
      </c>
      <c r="I18" s="23"/>
      <c r="J18" s="24">
        <v>7.0</v>
      </c>
      <c r="K18" s="25"/>
      <c r="L18" s="17"/>
      <c r="M18" s="1"/>
      <c r="N18" s="1"/>
      <c r="O18" s="1"/>
      <c r="P18" s="1"/>
      <c r="Q18" s="1"/>
      <c r="R18" s="1"/>
      <c r="S18" s="1"/>
      <c r="T18" s="1"/>
    </row>
    <row r="19" hidden="1">
      <c r="A19" s="18"/>
      <c r="B19" s="9" t="s">
        <v>47</v>
      </c>
      <c r="C19" s="19" t="s">
        <v>52</v>
      </c>
      <c r="D19" s="20" t="s">
        <v>45</v>
      </c>
      <c r="E19" s="21"/>
      <c r="F19" s="20" t="s">
        <v>30</v>
      </c>
      <c r="G19" s="22"/>
      <c r="H19" s="20" t="s">
        <v>53</v>
      </c>
      <c r="I19" s="23"/>
      <c r="J19" s="24">
        <v>18.0</v>
      </c>
      <c r="K19" s="25"/>
      <c r="L19" s="17"/>
      <c r="M19" s="1"/>
      <c r="N19" s="1"/>
      <c r="O19" s="1"/>
      <c r="P19" s="1"/>
      <c r="Q19" s="1"/>
      <c r="R19" s="1"/>
      <c r="S19" s="1"/>
      <c r="T19" s="1"/>
    </row>
    <row r="20">
      <c r="A20" s="18"/>
      <c r="B20" s="9" t="s">
        <v>13</v>
      </c>
      <c r="C20" s="19" t="s">
        <v>54</v>
      </c>
      <c r="D20" s="20" t="s">
        <v>45</v>
      </c>
      <c r="E20" s="21"/>
      <c r="F20" s="20" t="s">
        <v>30</v>
      </c>
      <c r="G20" s="22"/>
      <c r="H20" s="20" t="s">
        <v>53</v>
      </c>
      <c r="I20" s="23"/>
      <c r="J20" s="24">
        <v>22.0</v>
      </c>
      <c r="K20" s="25"/>
      <c r="L20" s="17"/>
      <c r="M20" s="1"/>
      <c r="N20" s="1"/>
      <c r="O20" s="1"/>
      <c r="P20" s="1"/>
      <c r="Q20" s="1"/>
      <c r="R20" s="1"/>
      <c r="S20" s="1"/>
      <c r="T20" s="1"/>
    </row>
    <row r="21" ht="15.75" customHeight="1">
      <c r="A21" s="18"/>
      <c r="B21" s="9" t="s">
        <v>13</v>
      </c>
      <c r="C21" s="19" t="s">
        <v>55</v>
      </c>
      <c r="D21" s="20" t="s">
        <v>45</v>
      </c>
      <c r="E21" s="21"/>
      <c r="F21" s="20" t="s">
        <v>30</v>
      </c>
      <c r="G21" s="22"/>
      <c r="H21" s="20" t="s">
        <v>56</v>
      </c>
      <c r="I21" s="23"/>
      <c r="J21" s="24">
        <v>5.0</v>
      </c>
      <c r="K21" s="25"/>
      <c r="L21" s="17"/>
      <c r="M21" s="1"/>
      <c r="N21" s="1"/>
      <c r="O21" s="1"/>
      <c r="P21" s="1"/>
      <c r="Q21" s="1"/>
      <c r="R21" s="1"/>
      <c r="S21" s="1"/>
      <c r="T21" s="1"/>
    </row>
    <row r="22" ht="15.75" hidden="1" customHeight="1">
      <c r="A22" s="18"/>
      <c r="B22" s="9" t="s">
        <v>47</v>
      </c>
      <c r="C22" s="26" t="s">
        <v>57</v>
      </c>
      <c r="D22" s="20" t="s">
        <v>58</v>
      </c>
      <c r="E22" s="21"/>
      <c r="F22" s="20" t="s">
        <v>30</v>
      </c>
      <c r="G22" s="22"/>
      <c r="H22" s="20" t="s">
        <v>49</v>
      </c>
      <c r="I22" s="23"/>
      <c r="J22" s="24">
        <v>12.0</v>
      </c>
      <c r="K22" s="25"/>
      <c r="L22" s="17"/>
      <c r="M22" s="1"/>
      <c r="N22" s="1"/>
      <c r="O22" s="1"/>
      <c r="P22" s="1"/>
      <c r="Q22" s="1"/>
      <c r="R22" s="1"/>
      <c r="S22" s="1"/>
      <c r="T22" s="1"/>
    </row>
    <row r="23" ht="15.75" hidden="1" customHeight="1">
      <c r="A23" s="18"/>
      <c r="B23" s="9" t="s">
        <v>47</v>
      </c>
      <c r="C23" s="26" t="s">
        <v>59</v>
      </c>
      <c r="D23" s="20" t="s">
        <v>58</v>
      </c>
      <c r="E23" s="21"/>
      <c r="F23" s="20" t="s">
        <v>30</v>
      </c>
      <c r="G23" s="22"/>
      <c r="H23" s="20" t="s">
        <v>46</v>
      </c>
      <c r="I23" s="23"/>
      <c r="J23" s="24">
        <v>30.0</v>
      </c>
      <c r="K23" s="25"/>
      <c r="L23" s="17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18"/>
      <c r="B24" s="9" t="s">
        <v>13</v>
      </c>
      <c r="C24" s="26" t="s">
        <v>60</v>
      </c>
      <c r="D24" s="20" t="s">
        <v>58</v>
      </c>
      <c r="E24" s="21"/>
      <c r="F24" s="20" t="s">
        <v>30</v>
      </c>
      <c r="G24" s="22"/>
      <c r="H24" s="20" t="s">
        <v>53</v>
      </c>
      <c r="I24" s="23"/>
      <c r="J24" s="24">
        <v>83.0</v>
      </c>
      <c r="K24" s="25"/>
      <c r="L24" s="17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18"/>
      <c r="B25" s="9" t="s">
        <v>13</v>
      </c>
      <c r="C25" s="26" t="s">
        <v>61</v>
      </c>
      <c r="D25" s="20" t="s">
        <v>62</v>
      </c>
      <c r="E25" s="21"/>
      <c r="F25" s="20" t="s">
        <v>30</v>
      </c>
      <c r="G25" s="22"/>
      <c r="H25" s="20" t="s">
        <v>63</v>
      </c>
      <c r="I25" s="23"/>
      <c r="J25" s="24">
        <v>27.0</v>
      </c>
      <c r="K25" s="25"/>
      <c r="L25" s="17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18"/>
      <c r="B26" s="9" t="s">
        <v>13</v>
      </c>
      <c r="C26" s="26" t="s">
        <v>64</v>
      </c>
      <c r="D26" s="20" t="s">
        <v>65</v>
      </c>
      <c r="E26" s="21"/>
      <c r="F26" s="20" t="s">
        <v>30</v>
      </c>
      <c r="G26" s="22"/>
      <c r="H26" s="20" t="s">
        <v>66</v>
      </c>
      <c r="I26" s="23"/>
      <c r="J26" s="24">
        <v>24.0</v>
      </c>
      <c r="K26" s="25"/>
      <c r="L26" s="17"/>
      <c r="M26" s="1"/>
      <c r="N26" s="1"/>
      <c r="O26" s="1"/>
      <c r="P26" s="1"/>
      <c r="Q26" s="1"/>
      <c r="R26" s="1"/>
      <c r="S26" s="1"/>
      <c r="T26" s="1"/>
    </row>
    <row r="27" ht="15.75" hidden="1" customHeight="1">
      <c r="A27" s="18"/>
      <c r="B27" s="9" t="s">
        <v>47</v>
      </c>
      <c r="C27" s="26" t="s">
        <v>67</v>
      </c>
      <c r="D27" s="20" t="s">
        <v>68</v>
      </c>
      <c r="E27" s="21"/>
      <c r="F27" s="20" t="s">
        <v>30</v>
      </c>
      <c r="G27" s="20" t="s">
        <v>69</v>
      </c>
      <c r="H27" s="20" t="s">
        <v>69</v>
      </c>
      <c r="I27" s="23"/>
      <c r="J27" s="24">
        <v>3.0</v>
      </c>
      <c r="K27" s="25"/>
      <c r="L27" s="17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18"/>
      <c r="B28" s="9" t="s">
        <v>13</v>
      </c>
      <c r="C28" s="26" t="s">
        <v>67</v>
      </c>
      <c r="D28" s="20" t="s">
        <v>68</v>
      </c>
      <c r="E28" s="21"/>
      <c r="F28" s="20" t="s">
        <v>30</v>
      </c>
      <c r="G28" s="22"/>
      <c r="H28" s="20" t="s">
        <v>69</v>
      </c>
      <c r="I28" s="23"/>
      <c r="J28" s="24">
        <v>2.0</v>
      </c>
      <c r="K28" s="25"/>
      <c r="L28" s="17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18"/>
      <c r="B29" s="9" t="s">
        <v>13</v>
      </c>
      <c r="C29" s="26" t="s">
        <v>70</v>
      </c>
      <c r="D29" s="20" t="s">
        <v>71</v>
      </c>
      <c r="E29" s="21"/>
      <c r="F29" s="20" t="s">
        <v>30</v>
      </c>
      <c r="G29" s="22"/>
      <c r="H29" s="20" t="s">
        <v>72</v>
      </c>
      <c r="I29" s="23"/>
      <c r="J29" s="24">
        <v>171.0</v>
      </c>
      <c r="K29" s="25"/>
      <c r="L29" s="17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18"/>
      <c r="B30" s="9" t="s">
        <v>13</v>
      </c>
      <c r="C30" s="26" t="s">
        <v>73</v>
      </c>
      <c r="D30" s="20" t="s">
        <v>74</v>
      </c>
      <c r="E30" s="21"/>
      <c r="F30" s="20" t="s">
        <v>75</v>
      </c>
      <c r="G30" s="22"/>
      <c r="H30" s="20" t="s">
        <v>76</v>
      </c>
      <c r="I30" s="23"/>
      <c r="J30" s="24">
        <v>1.0</v>
      </c>
      <c r="K30" s="25"/>
      <c r="L30" s="17"/>
      <c r="M30" s="1"/>
      <c r="N30" s="1"/>
      <c r="O30" s="1"/>
      <c r="P30" s="1"/>
      <c r="Q30" s="1"/>
      <c r="R30" s="1"/>
      <c r="S30" s="1"/>
      <c r="T30" s="1"/>
    </row>
    <row r="31" ht="15.75" hidden="1" customHeight="1">
      <c r="A31" s="18"/>
      <c r="B31" s="9" t="s">
        <v>47</v>
      </c>
      <c r="C31" s="26" t="s">
        <v>77</v>
      </c>
      <c r="D31" s="20" t="s">
        <v>78</v>
      </c>
      <c r="E31" s="21"/>
      <c r="F31" s="20" t="s">
        <v>30</v>
      </c>
      <c r="G31" s="22"/>
      <c r="H31" s="20" t="s">
        <v>79</v>
      </c>
      <c r="I31" s="23"/>
      <c r="J31" s="24">
        <v>11.0</v>
      </c>
      <c r="K31" s="25"/>
      <c r="L31" s="17"/>
      <c r="M31" s="1"/>
      <c r="N31" s="1"/>
      <c r="O31" s="1"/>
      <c r="P31" s="1"/>
      <c r="Q31" s="1"/>
      <c r="R31" s="1"/>
      <c r="S31" s="1"/>
      <c r="T31" s="1"/>
    </row>
    <row r="32" ht="15.75" hidden="1" customHeight="1">
      <c r="A32" s="18"/>
      <c r="B32" s="9" t="s">
        <v>47</v>
      </c>
      <c r="C32" s="26" t="s">
        <v>80</v>
      </c>
      <c r="D32" s="20" t="s">
        <v>78</v>
      </c>
      <c r="E32" s="21"/>
      <c r="F32" s="20" t="s">
        <v>30</v>
      </c>
      <c r="G32" s="22"/>
      <c r="H32" s="20" t="s">
        <v>81</v>
      </c>
      <c r="I32" s="23"/>
      <c r="J32" s="24">
        <v>13.0</v>
      </c>
      <c r="K32" s="25"/>
      <c r="L32" s="17"/>
      <c r="M32" s="1"/>
      <c r="N32" s="1"/>
      <c r="O32" s="1"/>
      <c r="P32" s="1"/>
      <c r="Q32" s="1"/>
      <c r="R32" s="1"/>
      <c r="S32" s="1"/>
      <c r="T32" s="1"/>
    </row>
    <row r="33" ht="15.75" hidden="1" customHeight="1">
      <c r="A33" s="18"/>
      <c r="B33" s="9" t="s">
        <v>47</v>
      </c>
      <c r="C33" s="26" t="s">
        <v>82</v>
      </c>
      <c r="D33" s="20" t="s">
        <v>78</v>
      </c>
      <c r="E33" s="21"/>
      <c r="F33" s="20" t="s">
        <v>30</v>
      </c>
      <c r="G33" s="22"/>
      <c r="H33" s="20" t="s">
        <v>83</v>
      </c>
      <c r="I33" s="23"/>
      <c r="J33" s="24">
        <v>34.0</v>
      </c>
      <c r="K33" s="25"/>
      <c r="L33" s="17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18"/>
      <c r="B34" s="9" t="s">
        <v>13</v>
      </c>
      <c r="C34" s="26" t="s">
        <v>82</v>
      </c>
      <c r="D34" s="20" t="s">
        <v>78</v>
      </c>
      <c r="E34" s="21"/>
      <c r="F34" s="20" t="s">
        <v>30</v>
      </c>
      <c r="G34" s="22"/>
      <c r="H34" s="20" t="s">
        <v>83</v>
      </c>
      <c r="I34" s="23"/>
      <c r="J34" s="24">
        <v>19.0</v>
      </c>
      <c r="K34" s="25"/>
      <c r="L34" s="17"/>
      <c r="M34" s="1"/>
      <c r="N34" s="1"/>
      <c r="O34" s="1"/>
      <c r="P34" s="1"/>
      <c r="Q34" s="1"/>
      <c r="R34" s="1"/>
      <c r="S34" s="1"/>
      <c r="T34" s="1"/>
    </row>
    <row r="35" ht="15.75" customHeight="1">
      <c r="A35" s="18"/>
      <c r="B35" s="9" t="s">
        <v>13</v>
      </c>
      <c r="C35" s="26" t="s">
        <v>84</v>
      </c>
      <c r="D35" s="20" t="s">
        <v>85</v>
      </c>
      <c r="E35" s="21"/>
      <c r="F35" s="20"/>
      <c r="G35" s="22"/>
      <c r="H35" s="20" t="s">
        <v>86</v>
      </c>
      <c r="I35" s="23"/>
      <c r="J35" s="24">
        <v>4.0</v>
      </c>
      <c r="K35" s="25"/>
      <c r="L35" s="17"/>
      <c r="M35" s="1"/>
      <c r="N35" s="1"/>
      <c r="O35" s="1"/>
      <c r="P35" s="1"/>
      <c r="Q35" s="1"/>
      <c r="R35" s="1"/>
      <c r="S35" s="1"/>
      <c r="T35" s="1"/>
    </row>
    <row r="36" ht="15.75" customHeight="1">
      <c r="A36" s="18"/>
      <c r="B36" s="9" t="s">
        <v>13</v>
      </c>
      <c r="C36" s="26" t="s">
        <v>87</v>
      </c>
      <c r="D36" s="20" t="s">
        <v>88</v>
      </c>
      <c r="E36" s="21"/>
      <c r="F36" s="20" t="s">
        <v>30</v>
      </c>
      <c r="G36" s="22"/>
      <c r="H36" s="20" t="s">
        <v>89</v>
      </c>
      <c r="I36" s="23"/>
      <c r="J36" s="24">
        <v>17.0</v>
      </c>
      <c r="K36" s="25"/>
      <c r="L36" s="17"/>
      <c r="M36" s="1"/>
      <c r="N36" s="1"/>
      <c r="O36" s="1"/>
      <c r="P36" s="1"/>
      <c r="Q36" s="1"/>
      <c r="R36" s="1"/>
      <c r="S36" s="1"/>
      <c r="T36" s="1"/>
    </row>
    <row r="37" ht="17.25" hidden="1" customHeight="1">
      <c r="A37" s="18"/>
      <c r="B37" s="9" t="s">
        <v>47</v>
      </c>
      <c r="C37" s="26" t="s">
        <v>90</v>
      </c>
      <c r="D37" s="20" t="s">
        <v>88</v>
      </c>
      <c r="E37" s="21"/>
      <c r="F37" s="20" t="s">
        <v>30</v>
      </c>
      <c r="G37" s="20" t="s">
        <v>89</v>
      </c>
      <c r="H37" s="20" t="s">
        <v>91</v>
      </c>
      <c r="I37" s="23"/>
      <c r="J37" s="24">
        <v>40.0</v>
      </c>
      <c r="K37" s="25"/>
      <c r="L37" s="17"/>
      <c r="M37" s="1"/>
      <c r="N37" s="1"/>
      <c r="O37" s="1"/>
      <c r="P37" s="1"/>
      <c r="Q37" s="1"/>
      <c r="R37" s="1"/>
      <c r="S37" s="1"/>
      <c r="T37" s="1"/>
    </row>
    <row r="38" ht="14.25" hidden="1" customHeight="1">
      <c r="A38" s="18"/>
      <c r="B38" s="9" t="s">
        <v>47</v>
      </c>
      <c r="C38" s="26" t="s">
        <v>87</v>
      </c>
      <c r="D38" s="20" t="s">
        <v>88</v>
      </c>
      <c r="E38" s="21"/>
      <c r="F38" s="20" t="s">
        <v>30</v>
      </c>
      <c r="G38" s="20" t="s">
        <v>89</v>
      </c>
      <c r="H38" s="20" t="s">
        <v>89</v>
      </c>
      <c r="I38" s="23"/>
      <c r="J38" s="24">
        <v>45.0</v>
      </c>
      <c r="K38" s="25"/>
      <c r="L38" s="17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18"/>
      <c r="B39" s="9" t="s">
        <v>13</v>
      </c>
      <c r="C39" s="26" t="s">
        <v>90</v>
      </c>
      <c r="D39" s="20" t="s">
        <v>88</v>
      </c>
      <c r="E39" s="21"/>
      <c r="F39" s="20" t="s">
        <v>30</v>
      </c>
      <c r="G39" s="22"/>
      <c r="H39" s="20" t="s">
        <v>91</v>
      </c>
      <c r="I39" s="23"/>
      <c r="J39" s="24">
        <v>35.0</v>
      </c>
      <c r="K39" s="25"/>
      <c r="L39" s="17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18"/>
      <c r="B40" s="9" t="s">
        <v>13</v>
      </c>
      <c r="C40" s="26" t="s">
        <v>92</v>
      </c>
      <c r="D40" s="20" t="s">
        <v>88</v>
      </c>
      <c r="E40" s="21"/>
      <c r="F40" s="20" t="s">
        <v>30</v>
      </c>
      <c r="G40" s="22"/>
      <c r="H40" s="20" t="s">
        <v>93</v>
      </c>
      <c r="I40" s="23"/>
      <c r="J40" s="24">
        <v>40.0</v>
      </c>
      <c r="K40" s="25"/>
      <c r="L40" s="17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18"/>
      <c r="B41" s="9" t="s">
        <v>13</v>
      </c>
      <c r="C41" s="26" t="s">
        <v>94</v>
      </c>
      <c r="D41" s="20" t="s">
        <v>95</v>
      </c>
      <c r="E41" s="21"/>
      <c r="F41" s="20" t="s">
        <v>30</v>
      </c>
      <c r="G41" s="22"/>
      <c r="H41" s="20" t="s">
        <v>89</v>
      </c>
      <c r="I41" s="23"/>
      <c r="J41" s="24">
        <v>40.0</v>
      </c>
      <c r="K41" s="25"/>
      <c r="L41" s="17"/>
      <c r="M41" s="1"/>
      <c r="N41" s="1"/>
      <c r="O41" s="1"/>
      <c r="P41" s="1"/>
      <c r="Q41" s="1"/>
      <c r="R41" s="1"/>
      <c r="S41" s="1"/>
      <c r="T41" s="1"/>
    </row>
    <row r="42" ht="15.75" hidden="1" customHeight="1">
      <c r="A42" s="18"/>
      <c r="B42" s="9" t="s">
        <v>47</v>
      </c>
      <c r="C42" s="26" t="s">
        <v>96</v>
      </c>
      <c r="D42" s="20" t="s">
        <v>95</v>
      </c>
      <c r="E42" s="21"/>
      <c r="F42" s="20" t="s">
        <v>30</v>
      </c>
      <c r="G42" s="22"/>
      <c r="H42" s="20" t="s">
        <v>91</v>
      </c>
      <c r="I42" s="23"/>
      <c r="J42" s="24">
        <v>45.0</v>
      </c>
      <c r="K42" s="25"/>
      <c r="L42" s="17"/>
      <c r="M42" s="1"/>
      <c r="N42" s="1"/>
      <c r="O42" s="1"/>
      <c r="P42" s="1"/>
      <c r="Q42" s="1"/>
      <c r="R42" s="1"/>
      <c r="S42" s="1"/>
      <c r="T42" s="1"/>
    </row>
    <row r="43" ht="15.75" hidden="1" customHeight="1">
      <c r="A43" s="18"/>
      <c r="B43" s="9" t="s">
        <v>47</v>
      </c>
      <c r="C43" s="26" t="s">
        <v>94</v>
      </c>
      <c r="D43" s="20" t="s">
        <v>95</v>
      </c>
      <c r="E43" s="21"/>
      <c r="F43" s="20" t="s">
        <v>30</v>
      </c>
      <c r="G43" s="22"/>
      <c r="H43" s="20" t="s">
        <v>89</v>
      </c>
      <c r="I43" s="23"/>
      <c r="J43" s="24">
        <v>40.0</v>
      </c>
      <c r="K43" s="25"/>
      <c r="L43" s="17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18"/>
      <c r="B44" s="9" t="s">
        <v>13</v>
      </c>
      <c r="C44" s="26" t="s">
        <v>96</v>
      </c>
      <c r="D44" s="20" t="s">
        <v>95</v>
      </c>
      <c r="E44" s="21"/>
      <c r="F44" s="20" t="s">
        <v>30</v>
      </c>
      <c r="G44" s="22"/>
      <c r="H44" s="20" t="s">
        <v>91</v>
      </c>
      <c r="I44" s="23"/>
      <c r="J44" s="24">
        <v>20.0</v>
      </c>
      <c r="K44" s="25"/>
      <c r="L44" s="17"/>
      <c r="M44" s="1"/>
      <c r="N44" s="1"/>
      <c r="O44" s="1"/>
      <c r="P44" s="1"/>
      <c r="Q44" s="1"/>
      <c r="R44" s="1"/>
      <c r="S44" s="1"/>
      <c r="T44" s="1"/>
    </row>
    <row r="45" ht="15.75" hidden="1" customHeight="1">
      <c r="A45" s="18"/>
      <c r="B45" s="9" t="s">
        <v>47</v>
      </c>
      <c r="C45" s="26" t="s">
        <v>97</v>
      </c>
      <c r="D45" s="20" t="s">
        <v>98</v>
      </c>
      <c r="E45" s="21"/>
      <c r="F45" s="20" t="s">
        <v>30</v>
      </c>
      <c r="G45" s="22"/>
      <c r="H45" s="20" t="s">
        <v>99</v>
      </c>
      <c r="I45" s="23"/>
      <c r="J45" s="24">
        <v>47.0</v>
      </c>
      <c r="K45" s="25"/>
      <c r="L45" s="17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18"/>
      <c r="B46" s="9" t="s">
        <v>13</v>
      </c>
      <c r="C46" s="26" t="s">
        <v>100</v>
      </c>
      <c r="D46" s="20" t="s">
        <v>95</v>
      </c>
      <c r="E46" s="21"/>
      <c r="F46" s="20" t="s">
        <v>30</v>
      </c>
      <c r="G46" s="22"/>
      <c r="H46" s="20" t="s">
        <v>93</v>
      </c>
      <c r="I46" s="23"/>
      <c r="J46" s="24">
        <v>14.0</v>
      </c>
      <c r="K46" s="25"/>
      <c r="L46" s="17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18"/>
      <c r="B47" s="9" t="s">
        <v>13</v>
      </c>
      <c r="C47" s="26" t="s">
        <v>101</v>
      </c>
      <c r="D47" s="20" t="s">
        <v>102</v>
      </c>
      <c r="E47" s="21"/>
      <c r="F47" s="20" t="s">
        <v>30</v>
      </c>
      <c r="G47" s="22"/>
      <c r="H47" s="20" t="s">
        <v>86</v>
      </c>
      <c r="I47" s="23"/>
      <c r="J47" s="24">
        <v>116.0</v>
      </c>
      <c r="K47" s="25"/>
      <c r="L47" s="17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18"/>
      <c r="B48" s="9" t="s">
        <v>13</v>
      </c>
      <c r="C48" s="19"/>
      <c r="D48" s="20" t="s">
        <v>103</v>
      </c>
      <c r="E48" s="21"/>
      <c r="F48" s="20" t="s">
        <v>30</v>
      </c>
      <c r="G48" s="22"/>
      <c r="H48" s="20"/>
      <c r="I48" s="23"/>
      <c r="J48" s="24">
        <v>1.0</v>
      </c>
      <c r="K48" s="25"/>
      <c r="L48" s="17"/>
      <c r="M48" s="1"/>
      <c r="N48" s="1"/>
      <c r="O48" s="1"/>
      <c r="P48" s="1"/>
      <c r="Q48" s="1"/>
      <c r="R48" s="1"/>
      <c r="S48" s="1"/>
      <c r="T48" s="1"/>
    </row>
    <row r="49" ht="15.75" hidden="1" customHeight="1">
      <c r="A49" s="18"/>
      <c r="B49" s="9" t="s">
        <v>47</v>
      </c>
      <c r="C49" s="26" t="s">
        <v>104</v>
      </c>
      <c r="D49" s="20" t="s">
        <v>105</v>
      </c>
      <c r="E49" s="21"/>
      <c r="F49" s="20" t="s">
        <v>30</v>
      </c>
      <c r="G49" s="20" t="s">
        <v>106</v>
      </c>
      <c r="H49" s="20" t="s">
        <v>106</v>
      </c>
      <c r="I49" s="23"/>
      <c r="J49" s="24">
        <v>1.0</v>
      </c>
      <c r="K49" s="25"/>
      <c r="L49" s="17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18"/>
      <c r="B50" s="9" t="s">
        <v>13</v>
      </c>
      <c r="C50" s="26" t="s">
        <v>104</v>
      </c>
      <c r="D50" s="20" t="s">
        <v>105</v>
      </c>
      <c r="E50" s="21"/>
      <c r="F50" s="20" t="s">
        <v>30</v>
      </c>
      <c r="G50" s="22"/>
      <c r="H50" s="20" t="s">
        <v>106</v>
      </c>
      <c r="I50" s="23"/>
      <c r="J50" s="24">
        <v>2.0</v>
      </c>
      <c r="K50" s="25"/>
      <c r="L50" s="17"/>
      <c r="M50" s="1"/>
      <c r="N50" s="1"/>
      <c r="O50" s="1"/>
      <c r="P50" s="1"/>
      <c r="Q50" s="1"/>
      <c r="R50" s="1"/>
      <c r="S50" s="1"/>
      <c r="T50" s="1"/>
    </row>
    <row r="51" ht="15.75" hidden="1" customHeight="1">
      <c r="A51" s="18"/>
      <c r="B51" s="9" t="s">
        <v>47</v>
      </c>
      <c r="C51" s="26" t="s">
        <v>107</v>
      </c>
      <c r="D51" s="20" t="s">
        <v>108</v>
      </c>
      <c r="E51" s="21"/>
      <c r="F51" s="20" t="s">
        <v>75</v>
      </c>
      <c r="G51" s="27"/>
      <c r="H51" s="20" t="s">
        <v>109</v>
      </c>
      <c r="I51" s="23"/>
      <c r="J51" s="24">
        <v>15.0</v>
      </c>
      <c r="K51" s="25"/>
      <c r="L51" s="17"/>
      <c r="M51" s="1"/>
      <c r="N51" s="1"/>
      <c r="O51" s="1"/>
      <c r="P51" s="1"/>
      <c r="Q51" s="1"/>
      <c r="R51" s="1"/>
      <c r="S51" s="1"/>
      <c r="T51" s="1"/>
    </row>
    <row r="52" ht="15.0" hidden="1" customHeight="1">
      <c r="A52" s="18"/>
      <c r="B52" s="9" t="s">
        <v>47</v>
      </c>
      <c r="C52" s="26" t="s">
        <v>110</v>
      </c>
      <c r="D52" s="20" t="s">
        <v>108</v>
      </c>
      <c r="E52" s="21"/>
      <c r="F52" s="20" t="s">
        <v>75</v>
      </c>
      <c r="G52" s="20" t="s">
        <v>111</v>
      </c>
      <c r="H52" s="20" t="s">
        <v>111</v>
      </c>
      <c r="I52" s="23"/>
      <c r="J52" s="24">
        <v>16.0</v>
      </c>
      <c r="K52" s="25"/>
      <c r="L52" s="17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18"/>
      <c r="B53" s="9" t="s">
        <v>13</v>
      </c>
      <c r="C53" s="26" t="s">
        <v>110</v>
      </c>
      <c r="D53" s="20" t="s">
        <v>108</v>
      </c>
      <c r="E53" s="21"/>
      <c r="F53" s="20" t="s">
        <v>75</v>
      </c>
      <c r="G53" s="22"/>
      <c r="H53" s="20" t="s">
        <v>111</v>
      </c>
      <c r="I53" s="23"/>
      <c r="J53" s="24">
        <v>3.0</v>
      </c>
      <c r="K53" s="25"/>
      <c r="L53" s="17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8"/>
      <c r="B54" s="9" t="s">
        <v>13</v>
      </c>
      <c r="C54" s="26" t="s">
        <v>112</v>
      </c>
      <c r="D54" s="20" t="s">
        <v>113</v>
      </c>
      <c r="E54" s="21"/>
      <c r="F54" s="20" t="s">
        <v>30</v>
      </c>
      <c r="G54" s="22"/>
      <c r="H54" s="20" t="s">
        <v>114</v>
      </c>
      <c r="I54" s="23"/>
      <c r="J54" s="24">
        <v>18.0</v>
      </c>
      <c r="K54" s="25"/>
      <c r="L54" s="17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8"/>
      <c r="B55" s="9" t="s">
        <v>13</v>
      </c>
      <c r="C55" s="26" t="s">
        <v>115</v>
      </c>
      <c r="D55" s="20" t="s">
        <v>113</v>
      </c>
      <c r="E55" s="21"/>
      <c r="F55" s="20" t="s">
        <v>30</v>
      </c>
      <c r="G55" s="22"/>
      <c r="H55" s="20" t="s">
        <v>116</v>
      </c>
      <c r="I55" s="23"/>
      <c r="J55" s="24">
        <v>40.0</v>
      </c>
      <c r="K55" s="25"/>
      <c r="L55" s="17"/>
      <c r="M55" s="1"/>
      <c r="N55" s="1"/>
      <c r="O55" s="1"/>
      <c r="P55" s="1"/>
      <c r="Q55" s="1"/>
      <c r="R55" s="1"/>
      <c r="S55" s="1"/>
      <c r="T55" s="1"/>
    </row>
    <row r="56" ht="15.75" hidden="1" customHeight="1">
      <c r="A56" s="18"/>
      <c r="B56" s="9" t="s">
        <v>47</v>
      </c>
      <c r="C56" s="26" t="s">
        <v>117</v>
      </c>
      <c r="D56" s="20" t="s">
        <v>113</v>
      </c>
      <c r="E56" s="21"/>
      <c r="F56" s="20" t="s">
        <v>30</v>
      </c>
      <c r="G56" s="22"/>
      <c r="H56" s="20" t="s">
        <v>118</v>
      </c>
      <c r="I56" s="23"/>
      <c r="J56" s="24">
        <v>10.0</v>
      </c>
      <c r="K56" s="25"/>
      <c r="L56" s="17"/>
      <c r="M56" s="1"/>
      <c r="N56" s="1"/>
      <c r="O56" s="1"/>
      <c r="P56" s="1"/>
      <c r="Q56" s="1"/>
      <c r="R56" s="1"/>
      <c r="S56" s="1"/>
      <c r="T56" s="1"/>
    </row>
    <row r="57" ht="15.75" hidden="1" customHeight="1">
      <c r="A57" s="18"/>
      <c r="B57" s="9" t="s">
        <v>47</v>
      </c>
      <c r="C57" s="26" t="s">
        <v>115</v>
      </c>
      <c r="D57" s="20" t="s">
        <v>113</v>
      </c>
      <c r="E57" s="21"/>
      <c r="F57" s="20" t="s">
        <v>30</v>
      </c>
      <c r="G57" s="22"/>
      <c r="H57" s="20" t="s">
        <v>116</v>
      </c>
      <c r="I57" s="23"/>
      <c r="J57" s="24">
        <v>50.0</v>
      </c>
      <c r="K57" s="25"/>
      <c r="L57" s="17"/>
      <c r="M57" s="1"/>
      <c r="N57" s="1"/>
      <c r="O57" s="1"/>
      <c r="P57" s="1"/>
      <c r="Q57" s="1"/>
      <c r="R57" s="1"/>
      <c r="S57" s="1"/>
      <c r="T57" s="1"/>
    </row>
    <row r="58" ht="15.75" hidden="1" customHeight="1">
      <c r="A58" s="18"/>
      <c r="B58" s="9" t="s">
        <v>47</v>
      </c>
      <c r="C58" s="26" t="s">
        <v>119</v>
      </c>
      <c r="D58" s="20" t="s">
        <v>120</v>
      </c>
      <c r="E58" s="21"/>
      <c r="F58" s="20" t="s">
        <v>121</v>
      </c>
      <c r="G58" s="22"/>
      <c r="H58" s="20" t="s">
        <v>122</v>
      </c>
      <c r="I58" s="23"/>
      <c r="J58" s="24">
        <v>12.0</v>
      </c>
      <c r="K58" s="25"/>
      <c r="L58" s="17"/>
      <c r="M58" s="1"/>
      <c r="N58" s="1"/>
      <c r="O58" s="1"/>
      <c r="P58" s="1"/>
      <c r="Q58" s="1"/>
      <c r="R58" s="1"/>
      <c r="S58" s="1"/>
      <c r="T58" s="1"/>
    </row>
    <row r="59" ht="15.75" hidden="1" customHeight="1">
      <c r="A59" s="18"/>
      <c r="B59" s="9" t="s">
        <v>47</v>
      </c>
      <c r="C59" s="19"/>
      <c r="D59" s="20" t="s">
        <v>123</v>
      </c>
      <c r="E59" s="28"/>
      <c r="F59" s="20" t="s">
        <v>30</v>
      </c>
      <c r="G59" s="22"/>
      <c r="H59" s="20"/>
      <c r="I59" s="23"/>
      <c r="J59" s="24">
        <v>1.0</v>
      </c>
      <c r="K59" s="25">
        <f t="shared" ref="K59:K64" si="2">G59*J59</f>
        <v>0</v>
      </c>
      <c r="L59" s="17"/>
      <c r="M59" s="1"/>
      <c r="N59" s="1"/>
      <c r="O59" s="1"/>
      <c r="P59" s="1"/>
      <c r="Q59" s="1"/>
      <c r="R59" s="1"/>
      <c r="S59" s="1"/>
      <c r="T59" s="1"/>
    </row>
    <row r="60" ht="15.75" hidden="1" customHeight="1">
      <c r="A60" s="18"/>
      <c r="B60" s="9" t="s">
        <v>47</v>
      </c>
      <c r="C60" s="26" t="s">
        <v>124</v>
      </c>
      <c r="D60" s="20" t="s">
        <v>125</v>
      </c>
      <c r="E60" s="28"/>
      <c r="F60" s="20" t="s">
        <v>30</v>
      </c>
      <c r="G60" s="22"/>
      <c r="H60" s="20" t="s">
        <v>126</v>
      </c>
      <c r="I60" s="23"/>
      <c r="J60" s="24">
        <v>3805.0</v>
      </c>
      <c r="K60" s="25">
        <f t="shared" si="2"/>
        <v>0</v>
      </c>
      <c r="L60" s="17"/>
      <c r="M60" s="1"/>
      <c r="N60" s="1"/>
      <c r="O60" s="1"/>
      <c r="P60" s="1"/>
      <c r="Q60" s="1"/>
      <c r="R60" s="1"/>
      <c r="S60" s="1"/>
      <c r="T60" s="1"/>
    </row>
    <row r="61" ht="15.75" hidden="1" customHeight="1">
      <c r="A61" s="18"/>
      <c r="B61" s="9" t="s">
        <v>47</v>
      </c>
      <c r="C61" s="26" t="s">
        <v>127</v>
      </c>
      <c r="D61" s="20" t="s">
        <v>128</v>
      </c>
      <c r="E61" s="28"/>
      <c r="F61" s="20" t="s">
        <v>129</v>
      </c>
      <c r="G61" s="22"/>
      <c r="H61" s="20" t="s">
        <v>130</v>
      </c>
      <c r="I61" s="23"/>
      <c r="J61" s="24">
        <v>30.0</v>
      </c>
      <c r="K61" s="25">
        <f t="shared" si="2"/>
        <v>0</v>
      </c>
      <c r="L61" s="17"/>
      <c r="M61" s="1"/>
      <c r="N61" s="1"/>
      <c r="O61" s="1"/>
      <c r="P61" s="1"/>
      <c r="Q61" s="1"/>
      <c r="R61" s="1"/>
      <c r="S61" s="1"/>
      <c r="T61" s="1"/>
    </row>
    <row r="62" ht="15.75" hidden="1" customHeight="1">
      <c r="A62" s="18"/>
      <c r="B62" s="9" t="s">
        <v>47</v>
      </c>
      <c r="C62" s="26" t="s">
        <v>14</v>
      </c>
      <c r="D62" s="20" t="s">
        <v>131</v>
      </c>
      <c r="E62" s="28"/>
      <c r="F62" s="20" t="s">
        <v>132</v>
      </c>
      <c r="G62" s="22"/>
      <c r="H62" s="20" t="s">
        <v>133</v>
      </c>
      <c r="I62" s="23"/>
      <c r="J62" s="24">
        <f>200/72</f>
        <v>2.777777778</v>
      </c>
      <c r="K62" s="25">
        <f t="shared" si="2"/>
        <v>0</v>
      </c>
      <c r="L62" s="17"/>
      <c r="M62" s="1"/>
      <c r="N62" s="1"/>
      <c r="O62" s="1"/>
      <c r="P62" s="1"/>
      <c r="Q62" s="1"/>
      <c r="R62" s="1"/>
      <c r="S62" s="1"/>
      <c r="T62" s="1"/>
    </row>
    <row r="63" ht="15.75" hidden="1" customHeight="1">
      <c r="A63" s="18"/>
      <c r="B63" s="9" t="s">
        <v>47</v>
      </c>
      <c r="C63" s="26" t="s">
        <v>21</v>
      </c>
      <c r="D63" s="20" t="s">
        <v>22</v>
      </c>
      <c r="E63" s="28"/>
      <c r="F63" s="20" t="s">
        <v>134</v>
      </c>
      <c r="G63" s="22"/>
      <c r="H63" s="20"/>
      <c r="I63" s="23"/>
      <c r="J63" s="24">
        <v>105.0</v>
      </c>
      <c r="K63" s="25">
        <f t="shared" si="2"/>
        <v>0</v>
      </c>
      <c r="L63" s="17"/>
      <c r="M63" s="1"/>
      <c r="N63" s="1"/>
      <c r="O63" s="1"/>
      <c r="P63" s="1"/>
      <c r="Q63" s="1"/>
      <c r="R63" s="1"/>
      <c r="S63" s="1"/>
      <c r="T63" s="1"/>
    </row>
    <row r="64" ht="15.75" hidden="1" customHeight="1">
      <c r="A64" s="18"/>
      <c r="B64" s="9" t="s">
        <v>47</v>
      </c>
      <c r="C64" s="26" t="s">
        <v>25</v>
      </c>
      <c r="D64" s="20" t="s">
        <v>135</v>
      </c>
      <c r="E64" s="28"/>
      <c r="F64" s="20" t="s">
        <v>134</v>
      </c>
      <c r="G64" s="22"/>
      <c r="H64" s="20"/>
      <c r="I64" s="23"/>
      <c r="J64" s="24">
        <v>320.0</v>
      </c>
      <c r="K64" s="25">
        <f t="shared" si="2"/>
        <v>0</v>
      </c>
      <c r="L64" s="17"/>
      <c r="M64" s="1"/>
      <c r="N64" s="1"/>
      <c r="O64" s="1"/>
      <c r="P64" s="1"/>
      <c r="Q64" s="1"/>
      <c r="R64" s="1"/>
      <c r="S64" s="1"/>
      <c r="T64" s="1"/>
    </row>
    <row r="65" ht="15.75" hidden="1" customHeight="1">
      <c r="A65" s="29"/>
      <c r="B65" s="9" t="s">
        <v>47</v>
      </c>
      <c r="C65" s="26" t="s">
        <v>136</v>
      </c>
      <c r="D65" s="20" t="s">
        <v>137</v>
      </c>
      <c r="E65" s="28"/>
      <c r="F65" s="20" t="s">
        <v>138</v>
      </c>
      <c r="G65" s="30"/>
      <c r="H65" s="20" t="s">
        <v>139</v>
      </c>
      <c r="I65" s="31"/>
      <c r="J65" s="24">
        <v>45.0</v>
      </c>
      <c r="K65" s="32" t="s">
        <v>140</v>
      </c>
      <c r="L65" s="17"/>
      <c r="M65" s="1"/>
      <c r="N65" s="1"/>
      <c r="O65" s="1"/>
      <c r="P65" s="1"/>
      <c r="Q65" s="1"/>
      <c r="R65" s="1"/>
      <c r="S65" s="1"/>
      <c r="T65" s="1"/>
    </row>
    <row r="66" ht="15.75" hidden="1" customHeight="1">
      <c r="A66" s="18"/>
      <c r="B66" s="9" t="s">
        <v>47</v>
      </c>
      <c r="C66" s="26" t="s">
        <v>141</v>
      </c>
      <c r="D66" s="20" t="s">
        <v>137</v>
      </c>
      <c r="E66" s="33"/>
      <c r="F66" s="20" t="s">
        <v>138</v>
      </c>
      <c r="G66" s="34" t="s">
        <v>142</v>
      </c>
      <c r="H66" s="34" t="s">
        <v>143</v>
      </c>
      <c r="I66" s="35"/>
      <c r="J66" s="36">
        <v>25.0</v>
      </c>
      <c r="K66" s="25" t="str">
        <f t="shared" ref="K66:K74" si="3">G66*J66</f>
        <v>#VALUE!</v>
      </c>
      <c r="L66" s="17"/>
      <c r="M66" s="1"/>
      <c r="N66" s="1"/>
      <c r="O66" s="1"/>
      <c r="P66" s="1"/>
      <c r="Q66" s="1"/>
      <c r="R66" s="1"/>
      <c r="S66" s="1"/>
      <c r="T66" s="1"/>
    </row>
    <row r="67" ht="15.75" hidden="1" customHeight="1">
      <c r="A67" s="18"/>
      <c r="B67" s="9" t="s">
        <v>47</v>
      </c>
      <c r="C67" s="26" t="s">
        <v>144</v>
      </c>
      <c r="D67" s="20" t="s">
        <v>137</v>
      </c>
      <c r="E67" s="33"/>
      <c r="F67" s="20" t="s">
        <v>138</v>
      </c>
      <c r="G67" s="34" t="s">
        <v>142</v>
      </c>
      <c r="H67" s="34" t="s">
        <v>145</v>
      </c>
      <c r="I67" s="37"/>
      <c r="J67" s="36">
        <v>67.0</v>
      </c>
      <c r="K67" s="25" t="str">
        <f t="shared" si="3"/>
        <v>#VALUE!</v>
      </c>
      <c r="L67" s="17"/>
      <c r="M67" s="1"/>
      <c r="N67" s="1"/>
      <c r="O67" s="1"/>
      <c r="P67" s="1"/>
      <c r="Q67" s="1"/>
      <c r="R67" s="1"/>
      <c r="S67" s="1"/>
      <c r="T67" s="1"/>
    </row>
    <row r="68" ht="15.75" hidden="1" customHeight="1">
      <c r="A68" s="18"/>
      <c r="B68" s="9" t="s">
        <v>47</v>
      </c>
      <c r="C68" s="26" t="s">
        <v>146</v>
      </c>
      <c r="D68" s="20" t="s">
        <v>137</v>
      </c>
      <c r="E68" s="33"/>
      <c r="F68" s="20" t="s">
        <v>138</v>
      </c>
      <c r="G68" s="34" t="s">
        <v>147</v>
      </c>
      <c r="H68" s="34" t="s">
        <v>148</v>
      </c>
      <c r="I68" s="37"/>
      <c r="J68" s="36">
        <v>21.0</v>
      </c>
      <c r="K68" s="25" t="str">
        <f t="shared" si="3"/>
        <v>#VALUE!</v>
      </c>
      <c r="L68" s="17"/>
      <c r="M68" s="1"/>
      <c r="N68" s="1"/>
      <c r="O68" s="1"/>
      <c r="P68" s="1"/>
      <c r="Q68" s="1"/>
      <c r="R68" s="1"/>
      <c r="S68" s="1"/>
      <c r="T68" s="1"/>
    </row>
    <row r="69" ht="15.75" hidden="1" customHeight="1">
      <c r="A69" s="18"/>
      <c r="B69" s="9" t="s">
        <v>47</v>
      </c>
      <c r="C69" s="19" t="s">
        <v>149</v>
      </c>
      <c r="D69" s="20" t="s">
        <v>150</v>
      </c>
      <c r="E69" s="33"/>
      <c r="F69" s="20" t="s">
        <v>151</v>
      </c>
      <c r="G69" s="34" t="s">
        <v>152</v>
      </c>
      <c r="H69" s="34" t="s">
        <v>153</v>
      </c>
      <c r="I69" s="37"/>
      <c r="J69" s="36">
        <v>90.0</v>
      </c>
      <c r="K69" s="25" t="str">
        <f t="shared" si="3"/>
        <v>#VALUE!</v>
      </c>
      <c r="L69" s="17"/>
      <c r="M69" s="1"/>
      <c r="N69" s="1"/>
      <c r="O69" s="1"/>
      <c r="P69" s="1"/>
      <c r="Q69" s="1"/>
      <c r="R69" s="1"/>
      <c r="S69" s="1"/>
      <c r="T69" s="1"/>
    </row>
    <row r="70" ht="19.5" hidden="1" customHeight="1">
      <c r="A70" s="18"/>
      <c r="B70" s="9" t="s">
        <v>47</v>
      </c>
      <c r="C70" s="19" t="s">
        <v>35</v>
      </c>
      <c r="D70" s="20" t="s">
        <v>150</v>
      </c>
      <c r="E70" s="33"/>
      <c r="F70" s="20" t="s">
        <v>151</v>
      </c>
      <c r="G70" s="34" t="s">
        <v>154</v>
      </c>
      <c r="H70" s="34" t="s">
        <v>155</v>
      </c>
      <c r="I70" s="37"/>
      <c r="J70" s="36">
        <v>5.0</v>
      </c>
      <c r="K70" s="25" t="str">
        <f t="shared" si="3"/>
        <v>#VALUE!</v>
      </c>
      <c r="L70" s="17"/>
      <c r="M70" s="1"/>
      <c r="N70" s="1"/>
      <c r="O70" s="1"/>
      <c r="P70" s="1"/>
      <c r="Q70" s="1"/>
      <c r="R70" s="1"/>
      <c r="S70" s="1"/>
      <c r="T70" s="1"/>
    </row>
    <row r="71" ht="15.75" hidden="1" customHeight="1">
      <c r="A71" s="18"/>
      <c r="B71" s="9" t="s">
        <v>47</v>
      </c>
      <c r="C71" s="26" t="s">
        <v>156</v>
      </c>
      <c r="D71" s="20" t="s">
        <v>157</v>
      </c>
      <c r="E71" s="33"/>
      <c r="F71" s="20" t="s">
        <v>158</v>
      </c>
      <c r="G71" s="34" t="s">
        <v>159</v>
      </c>
      <c r="H71" s="34" t="s">
        <v>160</v>
      </c>
      <c r="I71" s="37"/>
      <c r="J71" s="36">
        <v>2.0</v>
      </c>
      <c r="K71" s="25" t="str">
        <f t="shared" si="3"/>
        <v>#VALUE!</v>
      </c>
      <c r="L71" s="17"/>
      <c r="M71" s="1"/>
      <c r="N71" s="1"/>
      <c r="O71" s="1"/>
      <c r="P71" s="1"/>
      <c r="Q71" s="1"/>
      <c r="R71" s="1"/>
      <c r="S71" s="1"/>
      <c r="T71" s="1"/>
    </row>
    <row r="72" ht="15.75" hidden="1" customHeight="1">
      <c r="A72" s="18"/>
      <c r="B72" s="9" t="s">
        <v>47</v>
      </c>
      <c r="C72" s="26" t="s">
        <v>161</v>
      </c>
      <c r="D72" s="20" t="s">
        <v>162</v>
      </c>
      <c r="E72" s="33"/>
      <c r="F72" s="20" t="s">
        <v>129</v>
      </c>
      <c r="G72" s="34" t="s">
        <v>163</v>
      </c>
      <c r="H72" s="34" t="s">
        <v>164</v>
      </c>
      <c r="I72" s="37"/>
      <c r="J72" s="36">
        <v>14.0</v>
      </c>
      <c r="K72" s="25" t="str">
        <f t="shared" si="3"/>
        <v>#VALUE!</v>
      </c>
      <c r="L72" s="17"/>
      <c r="M72" s="1"/>
      <c r="N72" s="1"/>
      <c r="O72" s="1"/>
      <c r="P72" s="1"/>
      <c r="Q72" s="1"/>
      <c r="R72" s="1"/>
      <c r="S72" s="1"/>
      <c r="T72" s="1"/>
    </row>
    <row r="73" ht="15.75" hidden="1" customHeight="1">
      <c r="A73" s="18"/>
      <c r="B73" s="9" t="s">
        <v>47</v>
      </c>
      <c r="C73" s="26" t="s">
        <v>165</v>
      </c>
      <c r="D73" s="20" t="s">
        <v>162</v>
      </c>
      <c r="E73" s="33"/>
      <c r="F73" s="20" t="s">
        <v>129</v>
      </c>
      <c r="G73" s="34" t="s">
        <v>166</v>
      </c>
      <c r="H73" s="34" t="s">
        <v>167</v>
      </c>
      <c r="I73" s="37"/>
      <c r="J73" s="36">
        <v>17.0</v>
      </c>
      <c r="K73" s="25" t="str">
        <f t="shared" si="3"/>
        <v>#VALUE!</v>
      </c>
      <c r="L73" s="17"/>
      <c r="M73" s="1"/>
      <c r="N73" s="1"/>
      <c r="O73" s="1"/>
      <c r="P73" s="1"/>
      <c r="Q73" s="1"/>
      <c r="R73" s="1"/>
      <c r="S73" s="1"/>
      <c r="T73" s="1"/>
    </row>
    <row r="74" ht="15.75" hidden="1" customHeight="1">
      <c r="A74" s="18"/>
      <c r="B74" s="9" t="s">
        <v>47</v>
      </c>
      <c r="C74" s="26" t="s">
        <v>168</v>
      </c>
      <c r="D74" s="20" t="s">
        <v>162</v>
      </c>
      <c r="E74" s="33"/>
      <c r="F74" s="20" t="s">
        <v>129</v>
      </c>
      <c r="G74" s="34" t="s">
        <v>169</v>
      </c>
      <c r="H74" s="34" t="s">
        <v>170</v>
      </c>
      <c r="I74" s="37"/>
      <c r="J74" s="36">
        <v>22.0</v>
      </c>
      <c r="K74" s="25" t="str">
        <f t="shared" si="3"/>
        <v>#VALUE!</v>
      </c>
      <c r="L74" s="17"/>
      <c r="M74" s="1"/>
      <c r="N74" s="1"/>
      <c r="O74" s="1"/>
      <c r="P74" s="1"/>
      <c r="Q74" s="1"/>
      <c r="R74" s="1"/>
      <c r="S74" s="1"/>
      <c r="T74" s="1"/>
    </row>
    <row r="75" ht="15.75" hidden="1" customHeight="1">
      <c r="A75" s="18"/>
      <c r="B75" s="9" t="s">
        <v>47</v>
      </c>
      <c r="C75" s="26" t="s">
        <v>171</v>
      </c>
      <c r="D75" s="20" t="s">
        <v>172</v>
      </c>
      <c r="E75" s="33"/>
      <c r="F75" s="20" t="s">
        <v>30</v>
      </c>
      <c r="G75" s="34"/>
      <c r="H75" s="20" t="s">
        <v>173</v>
      </c>
      <c r="I75" s="37"/>
      <c r="J75" s="36">
        <v>15.0</v>
      </c>
      <c r="K75" s="25"/>
      <c r="L75" s="17"/>
      <c r="M75" s="1"/>
      <c r="N75" s="1"/>
      <c r="O75" s="1"/>
      <c r="P75" s="1"/>
      <c r="Q75" s="1"/>
      <c r="R75" s="1"/>
      <c r="S75" s="1"/>
      <c r="T75" s="1"/>
    </row>
    <row r="76" ht="15.75" hidden="1" customHeight="1">
      <c r="A76" s="18"/>
      <c r="B76" s="9" t="s">
        <v>47</v>
      </c>
      <c r="C76" s="26" t="s">
        <v>174</v>
      </c>
      <c r="D76" s="20" t="s">
        <v>175</v>
      </c>
      <c r="E76" s="33"/>
      <c r="F76" s="20" t="s">
        <v>176</v>
      </c>
      <c r="G76" s="34"/>
      <c r="H76" s="20" t="s">
        <v>177</v>
      </c>
      <c r="I76" s="37"/>
      <c r="J76" s="36">
        <v>100.0</v>
      </c>
      <c r="K76" s="25"/>
      <c r="L76" s="17"/>
      <c r="M76" s="1"/>
      <c r="N76" s="1"/>
      <c r="O76" s="1"/>
      <c r="P76" s="1"/>
      <c r="Q76" s="1"/>
      <c r="R76" s="1"/>
      <c r="S76" s="1"/>
      <c r="T76" s="1"/>
    </row>
    <row r="77" ht="15.75" hidden="1" customHeight="1">
      <c r="A77" s="18"/>
      <c r="B77" s="9" t="s">
        <v>47</v>
      </c>
      <c r="C77" s="26" t="s">
        <v>178</v>
      </c>
      <c r="D77" s="20" t="s">
        <v>179</v>
      </c>
      <c r="E77" s="33"/>
      <c r="F77" s="20" t="s">
        <v>176</v>
      </c>
      <c r="G77" s="34"/>
      <c r="H77" s="20" t="s">
        <v>180</v>
      </c>
      <c r="I77" s="37"/>
      <c r="J77" s="36">
        <v>100.0</v>
      </c>
      <c r="K77" s="25"/>
      <c r="L77" s="17"/>
      <c r="M77" s="1"/>
      <c r="N77" s="1"/>
      <c r="O77" s="1"/>
      <c r="P77" s="1"/>
      <c r="Q77" s="1"/>
      <c r="R77" s="1"/>
      <c r="S77" s="1"/>
      <c r="T77" s="1"/>
    </row>
    <row r="78" ht="15.75" hidden="1" customHeight="1">
      <c r="A78" s="18"/>
      <c r="B78" s="9" t="s">
        <v>47</v>
      </c>
      <c r="C78" s="26" t="s">
        <v>181</v>
      </c>
      <c r="D78" s="20" t="s">
        <v>182</v>
      </c>
      <c r="E78" s="33"/>
      <c r="F78" s="20" t="s">
        <v>75</v>
      </c>
      <c r="G78" s="34"/>
      <c r="H78" s="20" t="s">
        <v>183</v>
      </c>
      <c r="I78" s="37"/>
      <c r="J78" s="36">
        <v>1.0</v>
      </c>
      <c r="K78" s="25"/>
      <c r="L78" s="17"/>
      <c r="M78" s="1"/>
      <c r="N78" s="1"/>
      <c r="O78" s="1"/>
      <c r="P78" s="1"/>
      <c r="Q78" s="1"/>
      <c r="R78" s="1"/>
      <c r="S78" s="1"/>
      <c r="T78" s="1"/>
    </row>
    <row r="79" ht="15.75" hidden="1" customHeight="1">
      <c r="A79" s="18"/>
      <c r="B79" s="9" t="s">
        <v>47</v>
      </c>
      <c r="C79" s="26" t="s">
        <v>184</v>
      </c>
      <c r="D79" s="20" t="s">
        <v>185</v>
      </c>
      <c r="E79" s="33"/>
      <c r="F79" s="20" t="s">
        <v>37</v>
      </c>
      <c r="G79" s="34"/>
      <c r="H79" s="20" t="s">
        <v>186</v>
      </c>
      <c r="I79" s="37"/>
      <c r="J79" s="36">
        <v>5.0</v>
      </c>
      <c r="K79" s="25"/>
      <c r="L79" s="17"/>
      <c r="M79" s="1"/>
      <c r="N79" s="1"/>
      <c r="O79" s="1"/>
      <c r="P79" s="1"/>
      <c r="Q79" s="1"/>
      <c r="R79" s="1"/>
      <c r="S79" s="1"/>
      <c r="T79" s="1"/>
    </row>
    <row r="80" ht="15.75" hidden="1" customHeight="1">
      <c r="A80" s="18"/>
      <c r="B80" s="9" t="s">
        <v>47</v>
      </c>
      <c r="C80" s="26" t="s">
        <v>187</v>
      </c>
      <c r="D80" s="20" t="s">
        <v>188</v>
      </c>
      <c r="E80" s="33"/>
      <c r="F80" s="20" t="s">
        <v>189</v>
      </c>
      <c r="G80" s="34"/>
      <c r="H80" s="20" t="s">
        <v>186</v>
      </c>
      <c r="I80" s="37"/>
      <c r="J80" s="36">
        <v>10.0</v>
      </c>
      <c r="K80" s="25"/>
      <c r="L80" s="17"/>
      <c r="M80" s="1"/>
      <c r="N80" s="1"/>
      <c r="O80" s="1"/>
      <c r="P80" s="1"/>
      <c r="Q80" s="1"/>
      <c r="R80" s="1"/>
      <c r="S80" s="1"/>
      <c r="T80" s="1"/>
    </row>
    <row r="81" ht="15.75" hidden="1" customHeight="1">
      <c r="A81" s="18"/>
      <c r="B81" s="9" t="s">
        <v>47</v>
      </c>
      <c r="C81" s="26" t="s">
        <v>190</v>
      </c>
      <c r="D81" s="20" t="s">
        <v>191</v>
      </c>
      <c r="E81" s="33"/>
      <c r="F81" s="20" t="s">
        <v>192</v>
      </c>
      <c r="G81" s="34"/>
      <c r="H81" s="20"/>
      <c r="I81" s="37"/>
      <c r="J81" s="36">
        <v>4.0</v>
      </c>
      <c r="K81" s="25"/>
      <c r="L81" s="17"/>
      <c r="M81" s="1"/>
      <c r="N81" s="1"/>
      <c r="O81" s="1"/>
      <c r="P81" s="1"/>
      <c r="Q81" s="1"/>
      <c r="R81" s="1"/>
      <c r="S81" s="1"/>
      <c r="T81" s="1"/>
    </row>
    <row r="82" ht="15.75" hidden="1" customHeight="1">
      <c r="A82" s="18"/>
      <c r="B82" s="9" t="s">
        <v>47</v>
      </c>
      <c r="C82" s="26" t="s">
        <v>193</v>
      </c>
      <c r="D82" s="20" t="s">
        <v>194</v>
      </c>
      <c r="E82" s="33"/>
      <c r="F82" s="20" t="s">
        <v>132</v>
      </c>
      <c r="G82" s="34"/>
      <c r="H82" s="20"/>
      <c r="I82" s="37"/>
      <c r="J82" s="36">
        <f>250/56</f>
        <v>4.464285714</v>
      </c>
      <c r="K82" s="25"/>
      <c r="L82" s="17"/>
      <c r="M82" s="1"/>
      <c r="N82" s="1"/>
      <c r="O82" s="1"/>
      <c r="P82" s="1"/>
      <c r="Q82" s="1"/>
      <c r="R82" s="1"/>
      <c r="S82" s="1"/>
      <c r="T82" s="1"/>
    </row>
    <row r="83" ht="15.75" hidden="1" customHeight="1">
      <c r="A83" s="18"/>
      <c r="B83" s="9" t="s">
        <v>47</v>
      </c>
      <c r="C83" s="26" t="s">
        <v>195</v>
      </c>
      <c r="D83" s="20" t="s">
        <v>196</v>
      </c>
      <c r="E83" s="33"/>
      <c r="F83" s="20" t="s">
        <v>132</v>
      </c>
      <c r="G83" s="34"/>
      <c r="H83" s="20"/>
      <c r="I83" s="37"/>
      <c r="J83" s="36">
        <f>270/56</f>
        <v>4.821428571</v>
      </c>
      <c r="K83" s="25"/>
      <c r="L83" s="17"/>
      <c r="M83" s="1"/>
      <c r="N83" s="1"/>
      <c r="O83" s="1"/>
      <c r="P83" s="1"/>
      <c r="Q83" s="1"/>
      <c r="R83" s="1"/>
      <c r="S83" s="1"/>
      <c r="T83" s="1"/>
    </row>
    <row r="84" ht="15.75" hidden="1" customHeight="1">
      <c r="A84" s="18"/>
      <c r="B84" s="9" t="s">
        <v>47</v>
      </c>
      <c r="C84" s="26" t="s">
        <v>197</v>
      </c>
      <c r="D84" s="20" t="s">
        <v>198</v>
      </c>
      <c r="E84" s="33"/>
      <c r="F84" s="20" t="s">
        <v>199</v>
      </c>
      <c r="G84" s="34"/>
      <c r="H84" s="20" t="s">
        <v>200</v>
      </c>
      <c r="I84" s="37"/>
      <c r="J84" s="36">
        <v>2.0</v>
      </c>
      <c r="K84" s="25"/>
      <c r="L84" s="17"/>
      <c r="M84" s="1"/>
      <c r="N84" s="1"/>
      <c r="O84" s="1"/>
      <c r="P84" s="1"/>
      <c r="Q84" s="1"/>
      <c r="R84" s="1"/>
      <c r="S84" s="1"/>
      <c r="T84" s="1"/>
    </row>
    <row r="85" ht="15.75" hidden="1" customHeight="1">
      <c r="A85" s="18"/>
      <c r="B85" s="9" t="s">
        <v>47</v>
      </c>
      <c r="C85" s="26" t="s">
        <v>201</v>
      </c>
      <c r="D85" s="20" t="s">
        <v>202</v>
      </c>
      <c r="E85" s="33"/>
      <c r="F85" s="20" t="s">
        <v>189</v>
      </c>
      <c r="G85" s="34"/>
      <c r="H85" s="20" t="s">
        <v>203</v>
      </c>
      <c r="I85" s="37"/>
      <c r="J85" s="36">
        <v>6.0</v>
      </c>
      <c r="K85" s="25"/>
      <c r="L85" s="17"/>
      <c r="M85" s="1"/>
      <c r="N85" s="1"/>
      <c r="O85" s="1"/>
      <c r="P85" s="1"/>
      <c r="Q85" s="1"/>
      <c r="R85" s="1"/>
      <c r="S85" s="1"/>
      <c r="T85" s="1"/>
    </row>
    <row r="86" ht="15.75" hidden="1" customHeight="1">
      <c r="A86" s="18"/>
      <c r="B86" s="9" t="s">
        <v>47</v>
      </c>
      <c r="C86" s="26" t="s">
        <v>204</v>
      </c>
      <c r="D86" s="20" t="s">
        <v>205</v>
      </c>
      <c r="E86" s="33"/>
      <c r="F86" s="20" t="s">
        <v>206</v>
      </c>
      <c r="G86" s="34"/>
      <c r="H86" s="20"/>
      <c r="I86" s="37"/>
      <c r="J86" s="36">
        <v>47.0</v>
      </c>
      <c r="K86" s="25"/>
      <c r="L86" s="17"/>
      <c r="M86" s="1"/>
      <c r="N86" s="1"/>
      <c r="O86" s="1"/>
      <c r="P86" s="1"/>
      <c r="Q86" s="1"/>
      <c r="R86" s="1"/>
      <c r="S86" s="1"/>
      <c r="T86" s="1"/>
    </row>
    <row r="87" ht="15.75" hidden="1" customHeight="1">
      <c r="A87" s="18"/>
      <c r="B87" s="9" t="s">
        <v>47</v>
      </c>
      <c r="C87" s="38" t="s">
        <v>207</v>
      </c>
      <c r="D87" s="20" t="s">
        <v>208</v>
      </c>
      <c r="E87" s="33"/>
      <c r="F87" s="20" t="s">
        <v>30</v>
      </c>
      <c r="G87" s="34"/>
      <c r="H87" s="20" t="s">
        <v>209</v>
      </c>
      <c r="I87" s="37"/>
      <c r="J87" s="36">
        <v>22.0</v>
      </c>
      <c r="K87" s="25"/>
      <c r="L87" s="17"/>
      <c r="M87" s="1"/>
      <c r="N87" s="1"/>
      <c r="O87" s="1"/>
      <c r="P87" s="1"/>
      <c r="Q87" s="1"/>
      <c r="R87" s="1"/>
      <c r="S87" s="1"/>
      <c r="T87" s="1"/>
    </row>
    <row r="88" ht="15.75" hidden="1" customHeight="1">
      <c r="A88" s="18"/>
      <c r="B88" s="9" t="s">
        <v>47</v>
      </c>
      <c r="C88" s="38" t="s">
        <v>210</v>
      </c>
      <c r="D88" s="20" t="s">
        <v>208</v>
      </c>
      <c r="E88" s="33"/>
      <c r="F88" s="20" t="s">
        <v>30</v>
      </c>
      <c r="G88" s="34"/>
      <c r="H88" s="20" t="s">
        <v>211</v>
      </c>
      <c r="I88" s="37"/>
      <c r="J88" s="36">
        <v>44.0</v>
      </c>
      <c r="K88" s="25"/>
      <c r="L88" s="17"/>
      <c r="M88" s="1"/>
      <c r="N88" s="1"/>
      <c r="O88" s="1"/>
      <c r="P88" s="1"/>
      <c r="Q88" s="1"/>
      <c r="R88" s="1"/>
      <c r="S88" s="1"/>
      <c r="T88" s="1"/>
    </row>
    <row r="89" ht="15.75" hidden="1" customHeight="1">
      <c r="A89" s="18"/>
      <c r="B89" s="9" t="s">
        <v>47</v>
      </c>
      <c r="C89" s="26" t="s">
        <v>212</v>
      </c>
      <c r="D89" s="20" t="s">
        <v>208</v>
      </c>
      <c r="E89" s="33"/>
      <c r="F89" s="20" t="s">
        <v>30</v>
      </c>
      <c r="G89" s="34"/>
      <c r="H89" s="20" t="s">
        <v>213</v>
      </c>
      <c r="I89" s="37"/>
      <c r="J89" s="36">
        <v>66.0</v>
      </c>
      <c r="K89" s="25"/>
      <c r="L89" s="17"/>
      <c r="M89" s="1"/>
      <c r="N89" s="1"/>
      <c r="O89" s="1"/>
      <c r="P89" s="1"/>
      <c r="Q89" s="1"/>
      <c r="R89" s="1"/>
      <c r="S89" s="1"/>
      <c r="T89" s="1"/>
    </row>
    <row r="90" ht="15.75" hidden="1" customHeight="1">
      <c r="A90" s="18"/>
      <c r="B90" s="9" t="s">
        <v>47</v>
      </c>
      <c r="C90" s="38" t="s">
        <v>214</v>
      </c>
      <c r="D90" s="20" t="s">
        <v>215</v>
      </c>
      <c r="E90" s="33"/>
      <c r="F90" s="20" t="s">
        <v>30</v>
      </c>
      <c r="G90" s="34"/>
      <c r="H90" s="20" t="s">
        <v>216</v>
      </c>
      <c r="I90" s="37"/>
      <c r="J90" s="36">
        <v>20.0</v>
      </c>
      <c r="K90" s="25"/>
      <c r="L90" s="17"/>
      <c r="M90" s="1"/>
      <c r="N90" s="1"/>
      <c r="O90" s="1"/>
      <c r="P90" s="1"/>
      <c r="Q90" s="1"/>
      <c r="R90" s="1"/>
      <c r="S90" s="1"/>
      <c r="T90" s="1"/>
    </row>
    <row r="91" ht="15.75" hidden="1" customHeight="1">
      <c r="A91" s="18"/>
      <c r="B91" s="9" t="s">
        <v>47</v>
      </c>
      <c r="C91" s="19" t="s">
        <v>217</v>
      </c>
      <c r="D91" s="20" t="s">
        <v>218</v>
      </c>
      <c r="E91" s="33"/>
      <c r="F91" s="20" t="s">
        <v>206</v>
      </c>
      <c r="G91" s="34"/>
      <c r="H91" s="20" t="s">
        <v>219</v>
      </c>
      <c r="I91" s="37"/>
      <c r="J91" s="36">
        <v>13.0</v>
      </c>
      <c r="K91" s="25"/>
      <c r="L91" s="17"/>
      <c r="M91" s="1"/>
      <c r="N91" s="1"/>
      <c r="O91" s="1"/>
      <c r="P91" s="1"/>
      <c r="Q91" s="1"/>
      <c r="R91" s="1"/>
      <c r="S91" s="1"/>
      <c r="T91" s="1"/>
    </row>
    <row r="92" ht="15.75" customHeight="1">
      <c r="A92" s="18"/>
      <c r="B92" s="9" t="s">
        <v>13</v>
      </c>
      <c r="C92" s="19" t="s">
        <v>217</v>
      </c>
      <c r="D92" s="20" t="s">
        <v>218</v>
      </c>
      <c r="E92" s="33"/>
      <c r="F92" s="20" t="s">
        <v>206</v>
      </c>
      <c r="G92" s="34" t="s">
        <v>220</v>
      </c>
      <c r="H92" s="20" t="s">
        <v>221</v>
      </c>
      <c r="I92" s="37"/>
      <c r="J92" s="36">
        <v>18.0</v>
      </c>
      <c r="K92" s="25" t="str">
        <f>G92*J92</f>
        <v>#VALUE!</v>
      </c>
      <c r="L92" s="17"/>
      <c r="M92" s="1"/>
      <c r="N92" s="1"/>
      <c r="O92" s="1"/>
      <c r="P92" s="1"/>
      <c r="Q92" s="1"/>
      <c r="R92" s="1"/>
      <c r="S92" s="1"/>
      <c r="T92" s="1"/>
    </row>
    <row r="93" ht="15.75" customHeight="1">
      <c r="A93" s="39"/>
      <c r="B93" s="9" t="s">
        <v>13</v>
      </c>
      <c r="C93" s="19" t="s">
        <v>222</v>
      </c>
      <c r="D93" s="20" t="s">
        <v>223</v>
      </c>
      <c r="E93" s="33"/>
      <c r="F93" s="20" t="s">
        <v>224</v>
      </c>
      <c r="G93" s="34" t="s">
        <v>225</v>
      </c>
      <c r="H93" s="20" t="s">
        <v>226</v>
      </c>
      <c r="I93" s="37"/>
      <c r="J93" s="36">
        <v>14.0</v>
      </c>
      <c r="K93" s="25"/>
      <c r="L93" s="17"/>
      <c r="M93" s="1"/>
      <c r="N93" s="1"/>
      <c r="O93" s="1"/>
      <c r="P93" s="1"/>
      <c r="Q93" s="1"/>
      <c r="R93" s="1"/>
      <c r="S93" s="1"/>
      <c r="T93" s="1"/>
    </row>
    <row r="94" ht="15.75" customHeight="1">
      <c r="A94" s="39"/>
      <c r="B94" s="9" t="s">
        <v>13</v>
      </c>
      <c r="C94" s="19" t="s">
        <v>227</v>
      </c>
      <c r="D94" s="20" t="s">
        <v>228</v>
      </c>
      <c r="E94" s="33"/>
      <c r="F94" s="20" t="s">
        <v>224</v>
      </c>
      <c r="G94" s="34" t="s">
        <v>229</v>
      </c>
      <c r="H94" s="20" t="s">
        <v>230</v>
      </c>
      <c r="I94" s="37"/>
      <c r="J94" s="36">
        <v>3.0</v>
      </c>
      <c r="K94" s="25"/>
      <c r="L94" s="17"/>
      <c r="M94" s="1"/>
      <c r="N94" s="1"/>
      <c r="O94" s="1"/>
      <c r="P94" s="1"/>
      <c r="Q94" s="1"/>
      <c r="R94" s="1"/>
      <c r="S94" s="1"/>
      <c r="T94" s="1"/>
    </row>
    <row r="95" ht="15.75" customHeight="1">
      <c r="A95" s="39"/>
      <c r="B95" s="9" t="s">
        <v>13</v>
      </c>
      <c r="C95" s="26" t="s">
        <v>231</v>
      </c>
      <c r="D95" s="20" t="s">
        <v>228</v>
      </c>
      <c r="E95" s="33"/>
      <c r="F95" s="20" t="s">
        <v>224</v>
      </c>
      <c r="G95" s="34"/>
      <c r="H95" s="20" t="s">
        <v>232</v>
      </c>
      <c r="I95" s="37"/>
      <c r="J95" s="36">
        <v>2.0</v>
      </c>
      <c r="K95" s="25"/>
      <c r="L95" s="17"/>
      <c r="M95" s="1"/>
      <c r="N95" s="1"/>
      <c r="O95" s="1"/>
      <c r="P95" s="1"/>
      <c r="Q95" s="1"/>
      <c r="R95" s="1"/>
      <c r="S95" s="1"/>
      <c r="T95" s="1"/>
    </row>
    <row r="96" ht="15.75" customHeight="1">
      <c r="A96" s="39"/>
      <c r="B96" s="9" t="s">
        <v>13</v>
      </c>
      <c r="C96" s="19" t="s">
        <v>233</v>
      </c>
      <c r="D96" s="20" t="s">
        <v>234</v>
      </c>
      <c r="E96" s="33"/>
      <c r="F96" s="20" t="s">
        <v>224</v>
      </c>
      <c r="G96" s="34" t="s">
        <v>235</v>
      </c>
      <c r="H96" s="20" t="s">
        <v>236</v>
      </c>
      <c r="I96" s="40"/>
      <c r="J96" s="41">
        <v>2.0</v>
      </c>
      <c r="K96" s="25"/>
      <c r="L96" s="17"/>
      <c r="M96" s="1"/>
      <c r="N96" s="1"/>
      <c r="O96" s="1"/>
      <c r="P96" s="1"/>
      <c r="Q96" s="1"/>
      <c r="R96" s="1"/>
      <c r="S96" s="1"/>
    </row>
    <row r="97" ht="15.75" customHeight="1">
      <c r="A97" s="39"/>
      <c r="B97" s="9" t="s">
        <v>13</v>
      </c>
      <c r="C97" s="19" t="s">
        <v>237</v>
      </c>
      <c r="D97" s="20" t="s">
        <v>234</v>
      </c>
      <c r="E97" s="33"/>
      <c r="F97" s="20" t="s">
        <v>224</v>
      </c>
      <c r="G97" s="34" t="s">
        <v>238</v>
      </c>
      <c r="H97" s="20" t="s">
        <v>239</v>
      </c>
      <c r="I97" s="37"/>
      <c r="J97" s="41">
        <v>5.0</v>
      </c>
      <c r="K97" s="25"/>
      <c r="L97" s="17"/>
      <c r="M97" s="1"/>
      <c r="N97" s="1"/>
      <c r="O97" s="1"/>
      <c r="P97" s="1"/>
      <c r="Q97" s="1"/>
      <c r="R97" s="1"/>
      <c r="S97" s="1"/>
    </row>
    <row r="98" ht="15.75" customHeight="1">
      <c r="A98" s="39"/>
      <c r="B98" s="9" t="s">
        <v>13</v>
      </c>
      <c r="C98" s="26" t="s">
        <v>240</v>
      </c>
      <c r="D98" s="20" t="s">
        <v>241</v>
      </c>
      <c r="E98" s="33"/>
      <c r="F98" s="20" t="s">
        <v>242</v>
      </c>
      <c r="G98" s="34" t="s">
        <v>243</v>
      </c>
      <c r="H98" s="20" t="s">
        <v>244</v>
      </c>
      <c r="I98" s="37"/>
      <c r="J98" s="36">
        <v>20.0</v>
      </c>
      <c r="K98" s="25"/>
      <c r="L98" s="17"/>
      <c r="M98" s="1"/>
      <c r="N98" s="1"/>
      <c r="O98" s="1"/>
      <c r="P98" s="1"/>
      <c r="Q98" s="1"/>
      <c r="R98" s="1"/>
      <c r="S98" s="1"/>
      <c r="T98" s="1"/>
    </row>
    <row r="99" ht="15.75" hidden="1" customHeight="1">
      <c r="A99" s="39"/>
      <c r="B99" s="9" t="s">
        <v>47</v>
      </c>
      <c r="C99" s="26" t="s">
        <v>240</v>
      </c>
      <c r="D99" s="20" t="s">
        <v>241</v>
      </c>
      <c r="E99" s="33"/>
      <c r="F99" s="20" t="s">
        <v>242</v>
      </c>
      <c r="G99" s="34" t="s">
        <v>244</v>
      </c>
      <c r="H99" s="20" t="s">
        <v>244</v>
      </c>
      <c r="I99" s="37"/>
      <c r="J99" s="36">
        <v>11.0</v>
      </c>
      <c r="K99" s="25"/>
      <c r="L99" s="17"/>
      <c r="M99" s="1"/>
      <c r="N99" s="1"/>
      <c r="O99" s="1"/>
      <c r="P99" s="1"/>
      <c r="Q99" s="1"/>
      <c r="R99" s="1"/>
      <c r="S99" s="1"/>
      <c r="T99" s="1"/>
    </row>
    <row r="100" ht="15.75" hidden="1" customHeight="1">
      <c r="A100" s="39"/>
      <c r="B100" s="9" t="s">
        <v>47</v>
      </c>
      <c r="C100" s="26" t="s">
        <v>245</v>
      </c>
      <c r="D100" s="20" t="s">
        <v>241</v>
      </c>
      <c r="E100" s="33"/>
      <c r="F100" s="20" t="s">
        <v>242</v>
      </c>
      <c r="G100" s="34"/>
      <c r="H100" s="20" t="s">
        <v>246</v>
      </c>
      <c r="I100" s="37"/>
      <c r="J100" s="36">
        <v>11.0</v>
      </c>
      <c r="K100" s="25"/>
      <c r="L100" s="17"/>
      <c r="M100" s="1"/>
      <c r="N100" s="1"/>
      <c r="O100" s="1"/>
      <c r="P100" s="1"/>
      <c r="Q100" s="1"/>
      <c r="R100" s="1"/>
      <c r="S100" s="1"/>
      <c r="T100" s="1"/>
    </row>
    <row r="101" ht="15.75" customHeight="1">
      <c r="A101" s="39"/>
      <c r="B101" s="9" t="s">
        <v>13</v>
      </c>
      <c r="C101" s="26" t="s">
        <v>245</v>
      </c>
      <c r="D101" s="20" t="s">
        <v>241</v>
      </c>
      <c r="E101" s="33"/>
      <c r="F101" s="20" t="s">
        <v>242</v>
      </c>
      <c r="G101" s="34" t="s">
        <v>247</v>
      </c>
      <c r="H101" s="20" t="s">
        <v>246</v>
      </c>
      <c r="I101" s="37"/>
      <c r="J101" s="36">
        <v>1.0</v>
      </c>
      <c r="K101" s="25"/>
      <c r="L101" s="17"/>
      <c r="M101" s="1"/>
      <c r="N101" s="1"/>
      <c r="O101" s="1"/>
      <c r="P101" s="1"/>
      <c r="Q101" s="1"/>
      <c r="R101" s="1"/>
      <c r="S101" s="1"/>
      <c r="T101" s="1"/>
    </row>
    <row r="102" ht="15.75" hidden="1" customHeight="1">
      <c r="A102" s="39"/>
      <c r="B102" s="9" t="s">
        <v>47</v>
      </c>
      <c r="C102" s="19" t="s">
        <v>248</v>
      </c>
      <c r="D102" s="20" t="s">
        <v>249</v>
      </c>
      <c r="E102" s="33"/>
      <c r="F102" s="20" t="s">
        <v>242</v>
      </c>
      <c r="G102" s="34" t="s">
        <v>250</v>
      </c>
      <c r="H102" s="20"/>
      <c r="I102" s="37"/>
      <c r="J102" s="36">
        <v>6.0</v>
      </c>
      <c r="K102" s="25"/>
      <c r="L102" s="17"/>
      <c r="M102" s="1"/>
      <c r="N102" s="1"/>
      <c r="O102" s="1"/>
      <c r="P102" s="1"/>
      <c r="Q102" s="1"/>
      <c r="R102" s="1"/>
      <c r="S102" s="1"/>
      <c r="T102" s="1"/>
    </row>
    <row r="103" ht="15.75" customHeight="1">
      <c r="A103" s="39"/>
      <c r="B103" s="9" t="s">
        <v>13</v>
      </c>
      <c r="C103" s="19" t="s">
        <v>248</v>
      </c>
      <c r="D103" s="20" t="s">
        <v>249</v>
      </c>
      <c r="E103" s="33"/>
      <c r="F103" s="20" t="s">
        <v>242</v>
      </c>
      <c r="G103" s="34" t="s">
        <v>251</v>
      </c>
      <c r="H103" s="20" t="s">
        <v>250</v>
      </c>
      <c r="I103" s="37"/>
      <c r="J103" s="36">
        <v>12.0</v>
      </c>
      <c r="K103" s="25"/>
      <c r="L103" s="17"/>
      <c r="M103" s="1"/>
      <c r="N103" s="1"/>
      <c r="O103" s="1"/>
      <c r="P103" s="1"/>
      <c r="Q103" s="1"/>
      <c r="R103" s="1"/>
      <c r="S103" s="1"/>
      <c r="T103" s="1"/>
    </row>
    <row r="104" ht="15.75" hidden="1" customHeight="1">
      <c r="A104" s="39"/>
      <c r="B104" s="9" t="s">
        <v>47</v>
      </c>
      <c r="C104" s="19" t="s">
        <v>252</v>
      </c>
      <c r="D104" s="20" t="s">
        <v>253</v>
      </c>
      <c r="E104" s="33"/>
      <c r="F104" s="20" t="s">
        <v>224</v>
      </c>
      <c r="G104" s="34" t="s">
        <v>254</v>
      </c>
      <c r="H104" s="20" t="s">
        <v>255</v>
      </c>
      <c r="I104" s="37"/>
      <c r="J104" s="36">
        <v>13.0</v>
      </c>
      <c r="K104" s="25"/>
      <c r="L104" s="17"/>
      <c r="M104" s="1"/>
      <c r="N104" s="1"/>
      <c r="O104" s="1"/>
      <c r="P104" s="1"/>
      <c r="Q104" s="1"/>
      <c r="R104" s="1"/>
      <c r="S104" s="1"/>
      <c r="T104" s="1"/>
    </row>
    <row r="105" ht="15.75" customHeight="1">
      <c r="A105" s="39"/>
      <c r="B105" s="9" t="s">
        <v>13</v>
      </c>
      <c r="C105" s="26" t="s">
        <v>256</v>
      </c>
      <c r="D105" s="20" t="s">
        <v>257</v>
      </c>
      <c r="E105" s="33"/>
      <c r="F105" s="20" t="s">
        <v>224</v>
      </c>
      <c r="G105" s="34" t="s">
        <v>258</v>
      </c>
      <c r="H105" s="20" t="s">
        <v>259</v>
      </c>
      <c r="I105" s="37"/>
      <c r="J105" s="36">
        <v>2.0</v>
      </c>
      <c r="K105" s="25"/>
      <c r="L105" s="17"/>
      <c r="M105" s="1"/>
      <c r="N105" s="1"/>
      <c r="O105" s="1"/>
      <c r="P105" s="1"/>
      <c r="Q105" s="1"/>
      <c r="R105" s="1"/>
      <c r="S105" s="1"/>
      <c r="T105" s="1"/>
    </row>
    <row r="106" ht="15.75" customHeight="1">
      <c r="A106" s="39"/>
      <c r="B106" s="9" t="s">
        <v>13</v>
      </c>
      <c r="C106" s="19" t="s">
        <v>260</v>
      </c>
      <c r="D106" s="20" t="s">
        <v>261</v>
      </c>
      <c r="E106" s="33"/>
      <c r="F106" s="20" t="s">
        <v>262</v>
      </c>
      <c r="G106" s="34" t="s">
        <v>258</v>
      </c>
      <c r="H106" s="20" t="s">
        <v>263</v>
      </c>
      <c r="I106" s="37"/>
      <c r="J106" s="36">
        <v>3.0</v>
      </c>
      <c r="K106" s="25"/>
      <c r="L106" s="17"/>
      <c r="M106" s="1"/>
      <c r="N106" s="1"/>
      <c r="O106" s="1"/>
      <c r="P106" s="1"/>
      <c r="Q106" s="1"/>
      <c r="R106" s="1"/>
      <c r="S106" s="1"/>
      <c r="T106" s="1"/>
    </row>
    <row r="107" ht="15.75" hidden="1" customHeight="1">
      <c r="A107" s="39"/>
      <c r="B107" s="9" t="s">
        <v>47</v>
      </c>
      <c r="C107" s="19" t="s">
        <v>264</v>
      </c>
      <c r="D107" s="20" t="s">
        <v>265</v>
      </c>
      <c r="E107" s="33"/>
      <c r="F107" s="20" t="s">
        <v>266</v>
      </c>
      <c r="G107" s="34"/>
      <c r="H107" s="20" t="s">
        <v>267</v>
      </c>
      <c r="I107" s="37"/>
      <c r="J107" s="36">
        <v>19.0</v>
      </c>
      <c r="K107" s="25"/>
      <c r="L107" s="17"/>
      <c r="M107" s="1"/>
      <c r="N107" s="1"/>
      <c r="O107" s="1"/>
      <c r="P107" s="1"/>
      <c r="Q107" s="1"/>
      <c r="R107" s="1"/>
      <c r="S107" s="1"/>
      <c r="T107" s="1"/>
    </row>
    <row r="108" ht="15.75" customHeight="1">
      <c r="A108" s="39"/>
      <c r="B108" s="9" t="s">
        <v>13</v>
      </c>
      <c r="C108" s="19" t="s">
        <v>264</v>
      </c>
      <c r="D108" s="20" t="s">
        <v>265</v>
      </c>
      <c r="E108" s="33"/>
      <c r="F108" s="20" t="s">
        <v>266</v>
      </c>
      <c r="G108" s="34" t="s">
        <v>268</v>
      </c>
      <c r="H108" s="20" t="s">
        <v>267</v>
      </c>
      <c r="I108" s="37"/>
      <c r="J108" s="36">
        <v>19.0</v>
      </c>
      <c r="K108" s="25"/>
      <c r="L108" s="17"/>
      <c r="M108" s="1"/>
      <c r="N108" s="1"/>
      <c r="O108" s="1"/>
      <c r="P108" s="1"/>
      <c r="Q108" s="1"/>
      <c r="R108" s="1"/>
      <c r="S108" s="1"/>
      <c r="T108" s="1"/>
    </row>
    <row r="109" ht="15.75" hidden="1" customHeight="1">
      <c r="A109" s="39"/>
      <c r="B109" s="9" t="s">
        <v>47</v>
      </c>
      <c r="C109" s="19" t="s">
        <v>269</v>
      </c>
      <c r="D109" s="20" t="s">
        <v>270</v>
      </c>
      <c r="E109" s="33"/>
      <c r="F109" s="20" t="s">
        <v>266</v>
      </c>
      <c r="G109" s="34" t="s">
        <v>271</v>
      </c>
      <c r="H109" s="20" t="s">
        <v>272</v>
      </c>
      <c r="I109" s="37"/>
      <c r="J109" s="36">
        <v>11.0</v>
      </c>
      <c r="K109" s="25"/>
      <c r="L109" s="17"/>
      <c r="M109" s="1"/>
      <c r="N109" s="1"/>
      <c r="O109" s="1"/>
      <c r="P109" s="1"/>
      <c r="Q109" s="1"/>
      <c r="R109" s="1"/>
      <c r="S109" s="1"/>
      <c r="T109" s="1"/>
    </row>
    <row r="110" ht="15.75" customHeight="1">
      <c r="A110" s="39"/>
      <c r="B110" s="9" t="s">
        <v>13</v>
      </c>
      <c r="C110" s="19" t="s">
        <v>269</v>
      </c>
      <c r="D110" s="20" t="s">
        <v>270</v>
      </c>
      <c r="E110" s="33"/>
      <c r="F110" s="20" t="s">
        <v>266</v>
      </c>
      <c r="G110" s="34" t="s">
        <v>273</v>
      </c>
      <c r="H110" s="20" t="s">
        <v>271</v>
      </c>
      <c r="I110" s="37"/>
      <c r="J110" s="36">
        <v>11.0</v>
      </c>
      <c r="K110" s="25"/>
      <c r="L110" s="17"/>
      <c r="M110" s="1"/>
      <c r="N110" s="1"/>
      <c r="O110" s="1"/>
      <c r="P110" s="1"/>
      <c r="Q110" s="1"/>
      <c r="R110" s="1"/>
      <c r="S110" s="1"/>
      <c r="T110" s="1"/>
    </row>
    <row r="111" ht="15.75" customHeight="1">
      <c r="A111" s="39"/>
      <c r="B111" s="9" t="s">
        <v>13</v>
      </c>
      <c r="C111" s="19" t="s">
        <v>274</v>
      </c>
      <c r="D111" s="20" t="s">
        <v>275</v>
      </c>
      <c r="E111" s="33"/>
      <c r="F111" s="20" t="s">
        <v>224</v>
      </c>
      <c r="G111" s="34" t="s">
        <v>276</v>
      </c>
      <c r="H111" s="20" t="s">
        <v>277</v>
      </c>
      <c r="I111" s="37"/>
      <c r="J111" s="36">
        <v>9.0</v>
      </c>
      <c r="K111" s="25"/>
      <c r="L111" s="17"/>
      <c r="M111" s="1"/>
      <c r="N111" s="1"/>
      <c r="O111" s="1"/>
      <c r="P111" s="1"/>
      <c r="Q111" s="1"/>
      <c r="R111" s="1"/>
      <c r="S111" s="1"/>
      <c r="T111" s="1"/>
    </row>
    <row r="112" ht="15.75" customHeight="1">
      <c r="A112" s="39"/>
      <c r="B112" s="9" t="s">
        <v>13</v>
      </c>
      <c r="C112" s="19" t="s">
        <v>278</v>
      </c>
      <c r="D112" s="20" t="s">
        <v>279</v>
      </c>
      <c r="E112" s="33"/>
      <c r="F112" s="20" t="s">
        <v>224</v>
      </c>
      <c r="G112" s="34" t="s">
        <v>280</v>
      </c>
      <c r="H112" s="20" t="s">
        <v>277</v>
      </c>
      <c r="I112" s="37"/>
      <c r="J112" s="36">
        <v>1.0</v>
      </c>
      <c r="K112" s="25"/>
      <c r="L112" s="17"/>
      <c r="M112" s="1"/>
      <c r="N112" s="1"/>
      <c r="O112" s="1"/>
      <c r="P112" s="1"/>
      <c r="Q112" s="1"/>
      <c r="R112" s="1"/>
      <c r="S112" s="1"/>
      <c r="T112" s="1"/>
    </row>
    <row r="113" ht="15.75" hidden="1" customHeight="1">
      <c r="A113" s="39"/>
      <c r="B113" s="9" t="s">
        <v>47</v>
      </c>
      <c r="C113" s="19" t="s">
        <v>278</v>
      </c>
      <c r="D113" s="20" t="s">
        <v>279</v>
      </c>
      <c r="E113" s="33"/>
      <c r="F113" s="20" t="s">
        <v>224</v>
      </c>
      <c r="G113" s="34" t="s">
        <v>277</v>
      </c>
      <c r="H113" s="20" t="s">
        <v>277</v>
      </c>
      <c r="I113" s="37"/>
      <c r="J113" s="36">
        <v>25.0</v>
      </c>
      <c r="K113" s="25"/>
      <c r="L113" s="17"/>
      <c r="M113" s="1"/>
      <c r="N113" s="1"/>
      <c r="O113" s="1"/>
      <c r="P113" s="1"/>
      <c r="Q113" s="1"/>
      <c r="R113" s="1"/>
      <c r="S113" s="1"/>
      <c r="T113" s="1"/>
    </row>
    <row r="114" ht="15.75" hidden="1" customHeight="1">
      <c r="A114" s="39"/>
      <c r="B114" s="9" t="s">
        <v>47</v>
      </c>
      <c r="C114" s="19" t="s">
        <v>274</v>
      </c>
      <c r="D114" s="20" t="s">
        <v>275</v>
      </c>
      <c r="E114" s="33"/>
      <c r="F114" s="20" t="s">
        <v>224</v>
      </c>
      <c r="G114" s="34" t="s">
        <v>277</v>
      </c>
      <c r="H114" s="20" t="s">
        <v>277</v>
      </c>
      <c r="I114" s="37"/>
      <c r="J114" s="36">
        <v>10.0</v>
      </c>
      <c r="K114" s="25"/>
      <c r="L114" s="17"/>
      <c r="M114" s="1"/>
      <c r="N114" s="1"/>
      <c r="O114" s="1"/>
      <c r="P114" s="1"/>
      <c r="Q114" s="1"/>
      <c r="R114" s="1"/>
      <c r="S114" s="1"/>
      <c r="T114" s="1"/>
    </row>
    <row r="115" ht="15.75" hidden="1" customHeight="1">
      <c r="A115" s="39"/>
      <c r="B115" s="9" t="s">
        <v>47</v>
      </c>
      <c r="C115" s="26" t="s">
        <v>281</v>
      </c>
      <c r="D115" s="20" t="s">
        <v>282</v>
      </c>
      <c r="E115" s="33"/>
      <c r="F115" s="20" t="s">
        <v>224</v>
      </c>
      <c r="G115" s="34"/>
      <c r="H115" s="20" t="s">
        <v>277</v>
      </c>
      <c r="I115" s="37"/>
      <c r="J115" s="36">
        <v>40.0</v>
      </c>
      <c r="K115" s="25"/>
      <c r="L115" s="17"/>
      <c r="M115" s="1"/>
      <c r="N115" s="1"/>
      <c r="O115" s="1"/>
      <c r="P115" s="1"/>
      <c r="Q115" s="1"/>
      <c r="R115" s="1"/>
      <c r="S115" s="1"/>
      <c r="T115" s="1"/>
    </row>
    <row r="116" ht="15.75" hidden="1" customHeight="1">
      <c r="A116" s="39"/>
      <c r="B116" s="9" t="s">
        <v>47</v>
      </c>
      <c r="C116" s="26" t="s">
        <v>283</v>
      </c>
      <c r="D116" s="20" t="s">
        <v>284</v>
      </c>
      <c r="E116" s="33"/>
      <c r="F116" s="20" t="s">
        <v>224</v>
      </c>
      <c r="G116" s="34"/>
      <c r="H116" s="20" t="s">
        <v>277</v>
      </c>
      <c r="I116" s="37"/>
      <c r="J116" s="36">
        <v>14.0</v>
      </c>
      <c r="K116" s="25"/>
      <c r="L116" s="17"/>
      <c r="M116" s="1"/>
      <c r="N116" s="1"/>
      <c r="O116" s="1"/>
      <c r="P116" s="1"/>
      <c r="Q116" s="1"/>
      <c r="R116" s="1"/>
      <c r="S116" s="1"/>
      <c r="T116" s="1"/>
    </row>
    <row r="117" ht="15.75" hidden="1" customHeight="1">
      <c r="A117" s="39"/>
      <c r="B117" s="9" t="s">
        <v>47</v>
      </c>
      <c r="C117" s="26" t="s">
        <v>285</v>
      </c>
      <c r="D117" s="20" t="s">
        <v>286</v>
      </c>
      <c r="E117" s="33"/>
      <c r="F117" s="20" t="s">
        <v>224</v>
      </c>
      <c r="G117" s="34"/>
      <c r="H117" s="20" t="s">
        <v>277</v>
      </c>
      <c r="I117" s="37"/>
      <c r="J117" s="36">
        <v>8.0</v>
      </c>
      <c r="K117" s="25"/>
      <c r="L117" s="17"/>
      <c r="M117" s="1"/>
      <c r="N117" s="1"/>
      <c r="O117" s="1"/>
      <c r="P117" s="1"/>
      <c r="Q117" s="1"/>
      <c r="R117" s="1"/>
      <c r="S117" s="1"/>
      <c r="T117" s="1"/>
    </row>
    <row r="118" ht="15.75" customHeight="1">
      <c r="A118" s="39"/>
      <c r="B118" s="9" t="s">
        <v>13</v>
      </c>
      <c r="C118" s="26" t="s">
        <v>285</v>
      </c>
      <c r="D118" s="20" t="s">
        <v>286</v>
      </c>
      <c r="E118" s="33"/>
      <c r="F118" s="20" t="s">
        <v>224</v>
      </c>
      <c r="G118" s="34" t="s">
        <v>287</v>
      </c>
      <c r="H118" s="20" t="s">
        <v>277</v>
      </c>
      <c r="I118" s="37"/>
      <c r="J118" s="36">
        <v>8.0</v>
      </c>
      <c r="K118" s="25"/>
      <c r="L118" s="17"/>
      <c r="M118" s="1"/>
      <c r="N118" s="1"/>
      <c r="O118" s="1"/>
      <c r="P118" s="1"/>
      <c r="Q118" s="1"/>
      <c r="R118" s="1"/>
      <c r="S118" s="1"/>
      <c r="T118" s="1"/>
    </row>
    <row r="119" ht="15.75" customHeight="1">
      <c r="A119" s="39"/>
      <c r="B119" s="9" t="s">
        <v>13</v>
      </c>
      <c r="C119" s="19" t="s">
        <v>288</v>
      </c>
      <c r="D119" s="20" t="s">
        <v>289</v>
      </c>
      <c r="E119" s="33"/>
      <c r="F119" s="20" t="s">
        <v>224</v>
      </c>
      <c r="G119" s="34" t="s">
        <v>290</v>
      </c>
      <c r="H119" s="20" t="s">
        <v>277</v>
      </c>
      <c r="I119" s="37"/>
      <c r="J119" s="36">
        <v>12.0</v>
      </c>
      <c r="K119" s="25"/>
      <c r="L119" s="17"/>
      <c r="M119" s="1"/>
      <c r="N119" s="1"/>
      <c r="O119" s="1"/>
      <c r="P119" s="1"/>
      <c r="Q119" s="1"/>
      <c r="R119" s="1"/>
      <c r="S119" s="1"/>
      <c r="T119" s="1"/>
    </row>
    <row r="120" ht="15.75" customHeight="1">
      <c r="A120" s="39"/>
      <c r="B120" s="9" t="s">
        <v>13</v>
      </c>
      <c r="C120" s="26" t="s">
        <v>291</v>
      </c>
      <c r="D120" s="20" t="s">
        <v>292</v>
      </c>
      <c r="E120" s="33"/>
      <c r="F120" s="20" t="s">
        <v>266</v>
      </c>
      <c r="G120" s="34" t="s">
        <v>293</v>
      </c>
      <c r="H120" s="20" t="s">
        <v>294</v>
      </c>
      <c r="I120" s="37"/>
      <c r="J120" s="36">
        <v>41.0</v>
      </c>
      <c r="K120" s="25"/>
      <c r="L120" s="17"/>
      <c r="M120" s="1"/>
      <c r="N120" s="1"/>
      <c r="O120" s="1"/>
      <c r="P120" s="1"/>
      <c r="Q120" s="1"/>
      <c r="R120" s="1"/>
      <c r="S120" s="1"/>
      <c r="T120" s="1"/>
    </row>
    <row r="121" ht="15.75" customHeight="1">
      <c r="A121" s="39"/>
      <c r="B121" s="9" t="s">
        <v>13</v>
      </c>
      <c r="C121" s="26" t="s">
        <v>295</v>
      </c>
      <c r="D121" s="20" t="s">
        <v>296</v>
      </c>
      <c r="E121" s="33"/>
      <c r="F121" s="20" t="s">
        <v>266</v>
      </c>
      <c r="G121" s="34"/>
      <c r="H121" s="20" t="s">
        <v>294</v>
      </c>
      <c r="I121" s="37"/>
      <c r="J121" s="36">
        <v>4.0</v>
      </c>
      <c r="K121" s="25"/>
      <c r="L121" s="17"/>
      <c r="M121" s="1"/>
      <c r="N121" s="1"/>
      <c r="O121" s="1"/>
      <c r="P121" s="1"/>
      <c r="Q121" s="1"/>
      <c r="R121" s="1"/>
      <c r="S121" s="1"/>
      <c r="T121" s="1"/>
    </row>
    <row r="122" ht="15.75" customHeight="1">
      <c r="A122" s="39"/>
      <c r="B122" s="9" t="s">
        <v>13</v>
      </c>
      <c r="C122" s="26" t="s">
        <v>161</v>
      </c>
      <c r="D122" s="20" t="s">
        <v>297</v>
      </c>
      <c r="E122" s="33"/>
      <c r="F122" s="20" t="s">
        <v>266</v>
      </c>
      <c r="G122" s="34" t="s">
        <v>298</v>
      </c>
      <c r="H122" s="20" t="s">
        <v>294</v>
      </c>
      <c r="I122" s="37"/>
      <c r="J122" s="36">
        <v>3.0</v>
      </c>
      <c r="K122" s="25"/>
      <c r="L122" s="17"/>
      <c r="M122" s="1"/>
      <c r="N122" s="1"/>
      <c r="O122" s="1"/>
      <c r="P122" s="1"/>
      <c r="Q122" s="1"/>
      <c r="R122" s="1"/>
      <c r="S122" s="1"/>
      <c r="T122" s="1"/>
    </row>
    <row r="123" ht="20.25" customHeight="1">
      <c r="A123" s="42"/>
      <c r="B123" s="9" t="s">
        <v>13</v>
      </c>
      <c r="C123" s="43" t="s">
        <v>299</v>
      </c>
      <c r="D123" s="20" t="s">
        <v>208</v>
      </c>
      <c r="E123" s="33"/>
      <c r="F123" s="20" t="s">
        <v>30</v>
      </c>
      <c r="G123" s="37" t="s">
        <v>300</v>
      </c>
      <c r="H123" s="20" t="s">
        <v>301</v>
      </c>
      <c r="I123" s="37"/>
      <c r="J123" s="36">
        <v>20.0</v>
      </c>
      <c r="K123" s="25" t="str">
        <f t="shared" ref="K123:K124" si="4">G123*J123</f>
        <v>#VALUE!</v>
      </c>
      <c r="L123" s="17"/>
      <c r="M123" s="1"/>
      <c r="N123" s="1"/>
      <c r="O123" s="1"/>
      <c r="P123" s="1"/>
      <c r="Q123" s="1"/>
      <c r="R123" s="1"/>
      <c r="S123" s="1"/>
      <c r="T123" s="1"/>
    </row>
    <row r="124" ht="15.75" customHeight="1">
      <c r="A124" s="39"/>
      <c r="B124" s="9" t="s">
        <v>13</v>
      </c>
      <c r="C124" s="44" t="s">
        <v>302</v>
      </c>
      <c r="D124" s="41" t="s">
        <v>303</v>
      </c>
      <c r="E124" s="45"/>
      <c r="F124" s="41" t="s">
        <v>266</v>
      </c>
      <c r="G124" s="37" t="s">
        <v>304</v>
      </c>
      <c r="H124" s="20" t="s">
        <v>305</v>
      </c>
      <c r="I124" s="46"/>
      <c r="J124" s="47">
        <v>9310.0</v>
      </c>
      <c r="K124" s="25" t="str">
        <f t="shared" si="4"/>
        <v>#VALUE!</v>
      </c>
      <c r="L124" s="17"/>
      <c r="M124" s="1"/>
      <c r="N124" s="1"/>
      <c r="O124" s="1"/>
      <c r="P124" s="1"/>
      <c r="Q124" s="1"/>
      <c r="R124" s="1"/>
      <c r="S124" s="1"/>
      <c r="T124" s="1"/>
    </row>
    <row r="125" ht="15.75" hidden="1" customHeight="1">
      <c r="A125" s="39"/>
      <c r="B125" s="9" t="s">
        <v>47</v>
      </c>
      <c r="C125" s="44" t="s">
        <v>302</v>
      </c>
      <c r="D125" s="41" t="s">
        <v>303</v>
      </c>
      <c r="E125" s="45"/>
      <c r="F125" s="41" t="s">
        <v>266</v>
      </c>
      <c r="G125" s="37"/>
      <c r="H125" s="20" t="s">
        <v>305</v>
      </c>
      <c r="I125" s="46"/>
      <c r="J125" s="47">
        <v>3500.0</v>
      </c>
      <c r="K125" s="25"/>
      <c r="L125" s="17"/>
      <c r="M125" s="1"/>
      <c r="N125" s="1"/>
      <c r="O125" s="1"/>
      <c r="P125" s="1"/>
      <c r="Q125" s="1"/>
      <c r="R125" s="1"/>
      <c r="S125" s="1"/>
      <c r="T125" s="1"/>
    </row>
    <row r="126" ht="15.75" customHeight="1">
      <c r="A126" s="39"/>
      <c r="B126" s="9" t="s">
        <v>13</v>
      </c>
      <c r="C126" s="44" t="s">
        <v>306</v>
      </c>
      <c r="D126" s="41" t="s">
        <v>307</v>
      </c>
      <c r="E126" s="33"/>
      <c r="F126" s="41" t="s">
        <v>308</v>
      </c>
      <c r="G126" s="37" t="s">
        <v>309</v>
      </c>
      <c r="H126" s="20" t="s">
        <v>310</v>
      </c>
      <c r="I126" s="37"/>
      <c r="J126" s="47">
        <v>23.0</v>
      </c>
      <c r="K126" s="25" t="str">
        <f>G126*J126</f>
        <v>#VALUE!</v>
      </c>
      <c r="L126" s="17"/>
      <c r="M126" s="1"/>
      <c r="N126" s="1"/>
      <c r="O126" s="1"/>
      <c r="P126" s="1"/>
      <c r="Q126" s="1"/>
      <c r="R126" s="1"/>
      <c r="S126" s="1"/>
      <c r="T126" s="1"/>
    </row>
    <row r="127" ht="15.75" customHeight="1">
      <c r="A127" s="39"/>
      <c r="B127" s="9" t="s">
        <v>13</v>
      </c>
      <c r="C127" s="44"/>
      <c r="D127" s="41" t="s">
        <v>311</v>
      </c>
      <c r="E127" s="33"/>
      <c r="F127" s="41" t="s">
        <v>312</v>
      </c>
      <c r="G127" s="37"/>
      <c r="H127" s="20" t="s">
        <v>313</v>
      </c>
      <c r="I127" s="37"/>
      <c r="J127" s="47">
        <v>10.0</v>
      </c>
      <c r="K127" s="25"/>
      <c r="L127" s="17"/>
      <c r="M127" s="1"/>
      <c r="N127" s="1"/>
      <c r="O127" s="1"/>
      <c r="P127" s="1"/>
      <c r="Q127" s="1"/>
      <c r="R127" s="1"/>
      <c r="S127" s="1"/>
      <c r="T127" s="1"/>
    </row>
    <row r="128" ht="15.75" customHeight="1">
      <c r="A128" s="39"/>
      <c r="B128" s="9" t="s">
        <v>13</v>
      </c>
      <c r="C128" s="44"/>
      <c r="D128" s="41" t="s">
        <v>311</v>
      </c>
      <c r="E128" s="33"/>
      <c r="F128" s="41" t="s">
        <v>312</v>
      </c>
      <c r="G128" s="37"/>
      <c r="H128" s="20" t="s">
        <v>314</v>
      </c>
      <c r="I128" s="37"/>
      <c r="J128" s="47">
        <v>10.0</v>
      </c>
      <c r="K128" s="25"/>
      <c r="L128" s="17"/>
      <c r="M128" s="1"/>
      <c r="N128" s="1"/>
      <c r="O128" s="1"/>
      <c r="P128" s="1"/>
      <c r="Q128" s="1"/>
      <c r="R128" s="1"/>
      <c r="S128" s="1"/>
      <c r="T128" s="1"/>
    </row>
    <row r="129" ht="15.75" hidden="1" customHeight="1">
      <c r="A129" s="39"/>
      <c r="B129" s="9" t="s">
        <v>47</v>
      </c>
      <c r="C129" s="44" t="s">
        <v>306</v>
      </c>
      <c r="D129" s="41" t="s">
        <v>311</v>
      </c>
      <c r="E129" s="33"/>
      <c r="F129" s="41" t="s">
        <v>312</v>
      </c>
      <c r="G129" s="34" t="s">
        <v>315</v>
      </c>
      <c r="H129" s="20" t="s">
        <v>315</v>
      </c>
      <c r="I129" s="37"/>
      <c r="J129" s="47">
        <v>160.0</v>
      </c>
      <c r="K129" s="25"/>
      <c r="L129" s="17"/>
      <c r="M129" s="1"/>
      <c r="N129" s="1"/>
      <c r="O129" s="1"/>
      <c r="P129" s="1"/>
      <c r="Q129" s="1"/>
      <c r="R129" s="1"/>
      <c r="S129" s="1"/>
      <c r="T129" s="1"/>
    </row>
    <row r="130" ht="15.75" customHeight="1">
      <c r="A130" s="39"/>
      <c r="B130" s="9" t="s">
        <v>13</v>
      </c>
      <c r="C130" s="44" t="s">
        <v>306</v>
      </c>
      <c r="D130" s="41" t="s">
        <v>311</v>
      </c>
      <c r="E130" s="33"/>
      <c r="F130" s="41" t="s">
        <v>312</v>
      </c>
      <c r="G130" s="37" t="s">
        <v>316</v>
      </c>
      <c r="H130" s="20" t="s">
        <v>315</v>
      </c>
      <c r="I130" s="37"/>
      <c r="J130" s="47">
        <v>74.0</v>
      </c>
      <c r="K130" s="25" t="str">
        <f>G130*J130</f>
        <v>#VALUE!</v>
      </c>
      <c r="L130" s="17"/>
      <c r="M130" s="1"/>
      <c r="N130" s="1"/>
      <c r="O130" s="1"/>
      <c r="P130" s="1"/>
      <c r="Q130" s="1"/>
      <c r="R130" s="1"/>
      <c r="S130" s="1"/>
      <c r="T130" s="1"/>
    </row>
    <row r="131" ht="15.75" hidden="1" customHeight="1">
      <c r="A131" s="48"/>
      <c r="B131" s="48"/>
      <c r="C131" s="49"/>
      <c r="D131" s="48" t="s">
        <v>140</v>
      </c>
      <c r="E131" s="48" t="s">
        <v>140</v>
      </c>
      <c r="F131" s="48" t="s">
        <v>140</v>
      </c>
      <c r="G131" s="48" t="s">
        <v>140</v>
      </c>
      <c r="H131" s="48" t="s">
        <v>140</v>
      </c>
      <c r="I131" s="48"/>
      <c r="J131" s="50" t="s">
        <v>140</v>
      </c>
      <c r="K131" s="32" t="s">
        <v>140</v>
      </c>
      <c r="L131" s="17"/>
      <c r="M131" s="1"/>
      <c r="N131" s="1"/>
      <c r="O131" s="1"/>
      <c r="P131" s="1"/>
      <c r="Q131" s="1"/>
      <c r="R131" s="1"/>
      <c r="S131" s="1"/>
      <c r="T131" s="1"/>
    </row>
    <row r="132" ht="15.75" customHeight="1">
      <c r="A132" s="51"/>
      <c r="B132" s="51"/>
      <c r="C132" s="52" t="s">
        <v>317</v>
      </c>
      <c r="D132" s="51"/>
      <c r="E132" s="51"/>
      <c r="F132" s="51"/>
      <c r="G132" s="51"/>
      <c r="H132" s="51"/>
      <c r="I132" s="51"/>
      <c r="J132" s="53">
        <f t="shared" ref="J132:K132" si="5">SUBTOTAL(9,J6:J131)</f>
        <v>10913.52222</v>
      </c>
      <c r="K132" s="53" t="str">
        <f t="shared" si="5"/>
        <v>#VALUE!</v>
      </c>
      <c r="L132" s="17"/>
      <c r="M132" s="1"/>
      <c r="N132" s="1"/>
      <c r="O132" s="1"/>
      <c r="P132" s="1"/>
      <c r="Q132" s="1"/>
      <c r="R132" s="1"/>
      <c r="S132" s="1"/>
      <c r="T132" s="1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</sheetData>
  <autoFilter ref="$A$5:$K$131">
    <filterColumn colId="1">
      <filters>
        <filter val="Gudang Pantai"/>
      </filters>
    </filterColumn>
  </autoFilter>
  <mergeCells count="2">
    <mergeCell ref="A2:K2"/>
    <mergeCell ref="A3:K3"/>
  </mergeCells>
  <printOptions/>
  <pageMargins bottom="0.7480314960629921" footer="0.0" header="0.0" left="0.7086614173228347" right="0.7086614173228347" top="0.7480314960629921"/>
  <pageSetup paperSize="9" scale="6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2025-07-23T10:23:42Z</dcterms:created>
  <dc:creator>SDAJAKBAR</dc:creator>
</cp:coreProperties>
</file>